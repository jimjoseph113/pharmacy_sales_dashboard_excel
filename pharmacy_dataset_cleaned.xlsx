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35"/>
  </bookViews>
  <sheets>
    <sheet name="Pharmacy_Clean_Data (2)" sheetId="9" r:id="rId1"/>
    <sheet name="Pharmacy_Pivot_Table" sheetId="2" r:id="rId2"/>
    <sheet name="Pharmacy_Clean_Data" sheetId="1" r:id="rId3"/>
    <sheet name="Dashboard" sheetId="3" r:id="rId4"/>
  </sheets>
  <definedNames>
    <definedName name="_xlcn.WorksheetConnection_pharmacy_dataset.xlsxTable31" hidden="1">Table3[]</definedName>
    <definedName name="Slicer_Category">#N/A</definedName>
  </definedNames>
  <calcPr calcId="152511"/>
  <pivotCaches>
    <pivotCache cacheId="20" r:id="rId5"/>
    <pivotCache cacheId="3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d3a4e136-50d8-4fbf-a088-475a43908701" name="Table3" connection="WorksheetConnection_pharmacy_dataset.xlsx!Table3"/>
        </x15:modelTables>
      </x15:dataModel>
    </ext>
  </extLst>
</workbook>
</file>

<file path=xl/calcChain.xml><?xml version="1.0" encoding="utf-8"?>
<calcChain xmlns="http://schemas.openxmlformats.org/spreadsheetml/2006/main">
  <c r="G54" i="9" l="1"/>
  <c r="D54" i="9"/>
  <c r="O51" i="9"/>
  <c r="M51" i="9"/>
  <c r="L51" i="9"/>
  <c r="K51" i="9"/>
  <c r="J51" i="9"/>
  <c r="I51" i="9"/>
  <c r="H51" i="9"/>
  <c r="N51" i="9" s="1"/>
  <c r="O50" i="9"/>
  <c r="M50" i="9"/>
  <c r="L50" i="9"/>
  <c r="K50" i="9"/>
  <c r="J50" i="9"/>
  <c r="I50" i="9"/>
  <c r="H50" i="9"/>
  <c r="N50" i="9" s="1"/>
  <c r="O49" i="9"/>
  <c r="M49" i="9"/>
  <c r="L49" i="9"/>
  <c r="K49" i="9"/>
  <c r="J49" i="9"/>
  <c r="I49" i="9"/>
  <c r="H49" i="9"/>
  <c r="N49" i="9" s="1"/>
  <c r="O48" i="9"/>
  <c r="M48" i="9"/>
  <c r="L48" i="9"/>
  <c r="K48" i="9"/>
  <c r="J48" i="9"/>
  <c r="I48" i="9"/>
  <c r="H48" i="9"/>
  <c r="N48" i="9" s="1"/>
  <c r="O47" i="9"/>
  <c r="M47" i="9"/>
  <c r="L47" i="9"/>
  <c r="K47" i="9"/>
  <c r="J47" i="9"/>
  <c r="I47" i="9"/>
  <c r="H47" i="9"/>
  <c r="N47" i="9" s="1"/>
  <c r="O46" i="9"/>
  <c r="M46" i="9"/>
  <c r="L46" i="9"/>
  <c r="K46" i="9"/>
  <c r="J46" i="9"/>
  <c r="I46" i="9"/>
  <c r="H46" i="9"/>
  <c r="N46" i="9" s="1"/>
  <c r="O45" i="9"/>
  <c r="M45" i="9"/>
  <c r="L45" i="9"/>
  <c r="K45" i="9"/>
  <c r="J45" i="9"/>
  <c r="I45" i="9"/>
  <c r="H45" i="9"/>
  <c r="N45" i="9" s="1"/>
  <c r="O44" i="9"/>
  <c r="M44" i="9"/>
  <c r="L44" i="9"/>
  <c r="K44" i="9"/>
  <c r="J44" i="9"/>
  <c r="I44" i="9"/>
  <c r="H44" i="9"/>
  <c r="N44" i="9" s="1"/>
  <c r="O43" i="9"/>
  <c r="M43" i="9"/>
  <c r="L43" i="9"/>
  <c r="K43" i="9"/>
  <c r="J43" i="9"/>
  <c r="I43" i="9"/>
  <c r="H43" i="9"/>
  <c r="N43" i="9" s="1"/>
  <c r="O42" i="9"/>
  <c r="M42" i="9"/>
  <c r="L42" i="9"/>
  <c r="K42" i="9"/>
  <c r="J42" i="9"/>
  <c r="I42" i="9"/>
  <c r="H42" i="9"/>
  <c r="N42" i="9" s="1"/>
  <c r="O41" i="9"/>
  <c r="M41" i="9"/>
  <c r="L41" i="9"/>
  <c r="K41" i="9"/>
  <c r="J41" i="9"/>
  <c r="I41" i="9"/>
  <c r="H41" i="9"/>
  <c r="N41" i="9" s="1"/>
  <c r="O40" i="9"/>
  <c r="M40" i="9"/>
  <c r="L40" i="9"/>
  <c r="K40" i="9"/>
  <c r="J40" i="9"/>
  <c r="I40" i="9"/>
  <c r="H40" i="9"/>
  <c r="N40" i="9" s="1"/>
  <c r="O39" i="9"/>
  <c r="M39" i="9"/>
  <c r="L39" i="9"/>
  <c r="K39" i="9"/>
  <c r="J39" i="9"/>
  <c r="I39" i="9"/>
  <c r="H39" i="9"/>
  <c r="N39" i="9" s="1"/>
  <c r="O38" i="9"/>
  <c r="M38" i="9"/>
  <c r="L38" i="9"/>
  <c r="K38" i="9"/>
  <c r="J38" i="9"/>
  <c r="I38" i="9"/>
  <c r="H38" i="9"/>
  <c r="N38" i="9" s="1"/>
  <c r="O37" i="9"/>
  <c r="M37" i="9"/>
  <c r="L37" i="9"/>
  <c r="K37" i="9"/>
  <c r="J37" i="9"/>
  <c r="I37" i="9"/>
  <c r="H37" i="9"/>
  <c r="N37" i="9" s="1"/>
  <c r="O36" i="9"/>
  <c r="M36" i="9"/>
  <c r="L36" i="9"/>
  <c r="K36" i="9"/>
  <c r="J36" i="9"/>
  <c r="I36" i="9"/>
  <c r="H36" i="9"/>
  <c r="N36" i="9" s="1"/>
  <c r="O35" i="9"/>
  <c r="N35" i="9"/>
  <c r="M35" i="9"/>
  <c r="L35" i="9"/>
  <c r="K35" i="9"/>
  <c r="J35" i="9"/>
  <c r="I35" i="9"/>
  <c r="H35" i="9"/>
  <c r="O34" i="9"/>
  <c r="N34" i="9"/>
  <c r="M34" i="9"/>
  <c r="L34" i="9"/>
  <c r="K34" i="9"/>
  <c r="J34" i="9"/>
  <c r="I34" i="9"/>
  <c r="H34" i="9"/>
  <c r="O33" i="9"/>
  <c r="N33" i="9"/>
  <c r="M33" i="9"/>
  <c r="L33" i="9"/>
  <c r="K33" i="9"/>
  <c r="J33" i="9"/>
  <c r="I33" i="9"/>
  <c r="H33" i="9"/>
  <c r="O32" i="9"/>
  <c r="N32" i="9"/>
  <c r="M32" i="9"/>
  <c r="L32" i="9"/>
  <c r="K32" i="9"/>
  <c r="J32" i="9"/>
  <c r="I32" i="9"/>
  <c r="H32" i="9"/>
  <c r="O31" i="9"/>
  <c r="N31" i="9"/>
  <c r="M31" i="9"/>
  <c r="L31" i="9"/>
  <c r="K31" i="9"/>
  <c r="J31" i="9"/>
  <c r="I31" i="9"/>
  <c r="H31" i="9"/>
  <c r="O30" i="9"/>
  <c r="N30" i="9"/>
  <c r="M30" i="9"/>
  <c r="L30" i="9"/>
  <c r="K30" i="9"/>
  <c r="J30" i="9"/>
  <c r="I30" i="9"/>
  <c r="H30" i="9"/>
  <c r="O29" i="9"/>
  <c r="N29" i="9"/>
  <c r="M29" i="9"/>
  <c r="L29" i="9"/>
  <c r="K29" i="9"/>
  <c r="J29" i="9"/>
  <c r="I29" i="9"/>
  <c r="H29" i="9"/>
  <c r="O28" i="9"/>
  <c r="N28" i="9"/>
  <c r="M28" i="9"/>
  <c r="L28" i="9"/>
  <c r="K28" i="9"/>
  <c r="J28" i="9"/>
  <c r="I28" i="9"/>
  <c r="H28" i="9"/>
  <c r="O27" i="9"/>
  <c r="N27" i="9"/>
  <c r="M27" i="9"/>
  <c r="L27" i="9"/>
  <c r="K27" i="9"/>
  <c r="J27" i="9"/>
  <c r="I27" i="9"/>
  <c r="H27" i="9"/>
  <c r="O26" i="9"/>
  <c r="N26" i="9"/>
  <c r="M26" i="9"/>
  <c r="L26" i="9"/>
  <c r="K26" i="9"/>
  <c r="J26" i="9"/>
  <c r="I26" i="9"/>
  <c r="H26" i="9"/>
  <c r="O25" i="9"/>
  <c r="N25" i="9"/>
  <c r="M25" i="9"/>
  <c r="L25" i="9"/>
  <c r="K25" i="9"/>
  <c r="J25" i="9"/>
  <c r="I25" i="9"/>
  <c r="H25" i="9"/>
  <c r="O24" i="9"/>
  <c r="N24" i="9"/>
  <c r="M24" i="9"/>
  <c r="L24" i="9"/>
  <c r="K24" i="9"/>
  <c r="J24" i="9"/>
  <c r="I24" i="9"/>
  <c r="H24" i="9"/>
  <c r="O23" i="9"/>
  <c r="N23" i="9"/>
  <c r="M23" i="9"/>
  <c r="L23" i="9"/>
  <c r="K23" i="9"/>
  <c r="J23" i="9"/>
  <c r="I23" i="9"/>
  <c r="H23" i="9"/>
  <c r="O22" i="9"/>
  <c r="N22" i="9"/>
  <c r="M22" i="9"/>
  <c r="L22" i="9"/>
  <c r="K22" i="9"/>
  <c r="J22" i="9"/>
  <c r="I22" i="9"/>
  <c r="H22" i="9"/>
  <c r="O21" i="9"/>
  <c r="N21" i="9"/>
  <c r="M21" i="9"/>
  <c r="L21" i="9"/>
  <c r="K21" i="9"/>
  <c r="J21" i="9"/>
  <c r="I21" i="9"/>
  <c r="H21" i="9"/>
  <c r="O20" i="9"/>
  <c r="N20" i="9"/>
  <c r="M20" i="9"/>
  <c r="L20" i="9"/>
  <c r="K20" i="9"/>
  <c r="J20" i="9"/>
  <c r="I20" i="9"/>
  <c r="H20" i="9"/>
  <c r="O19" i="9"/>
  <c r="N19" i="9"/>
  <c r="M19" i="9"/>
  <c r="L19" i="9"/>
  <c r="K19" i="9"/>
  <c r="J19" i="9"/>
  <c r="I19" i="9"/>
  <c r="H19" i="9"/>
  <c r="O18" i="9"/>
  <c r="N18" i="9"/>
  <c r="M18" i="9"/>
  <c r="L18" i="9"/>
  <c r="K18" i="9"/>
  <c r="J18" i="9"/>
  <c r="I18" i="9"/>
  <c r="H18" i="9"/>
  <c r="O17" i="9"/>
  <c r="N17" i="9"/>
  <c r="M17" i="9"/>
  <c r="L17" i="9"/>
  <c r="K17" i="9"/>
  <c r="J17" i="9"/>
  <c r="I17" i="9"/>
  <c r="H17" i="9"/>
  <c r="O16" i="9"/>
  <c r="N16" i="9"/>
  <c r="M16" i="9"/>
  <c r="L16" i="9"/>
  <c r="K16" i="9"/>
  <c r="J16" i="9"/>
  <c r="I16" i="9"/>
  <c r="H16" i="9"/>
  <c r="O15" i="9"/>
  <c r="N15" i="9"/>
  <c r="M15" i="9"/>
  <c r="L15" i="9"/>
  <c r="K15" i="9"/>
  <c r="J15" i="9"/>
  <c r="I15" i="9"/>
  <c r="H15" i="9"/>
  <c r="O14" i="9"/>
  <c r="N14" i="9"/>
  <c r="M14" i="9"/>
  <c r="L14" i="9"/>
  <c r="K14" i="9"/>
  <c r="J14" i="9"/>
  <c r="I14" i="9"/>
  <c r="H14" i="9"/>
  <c r="O13" i="9"/>
  <c r="N13" i="9"/>
  <c r="M13" i="9"/>
  <c r="L13" i="9"/>
  <c r="K13" i="9"/>
  <c r="J13" i="9"/>
  <c r="I13" i="9"/>
  <c r="H13" i="9"/>
  <c r="O12" i="9"/>
  <c r="N12" i="9"/>
  <c r="M12" i="9"/>
  <c r="L12" i="9"/>
  <c r="K12" i="9"/>
  <c r="J12" i="9"/>
  <c r="I12" i="9"/>
  <c r="H12" i="9"/>
  <c r="O11" i="9"/>
  <c r="N11" i="9"/>
  <c r="M11" i="9"/>
  <c r="L11" i="9"/>
  <c r="K11" i="9"/>
  <c r="J11" i="9"/>
  <c r="I11" i="9"/>
  <c r="H11" i="9"/>
  <c r="O10" i="9"/>
  <c r="N10" i="9"/>
  <c r="M10" i="9"/>
  <c r="L10" i="9"/>
  <c r="K10" i="9"/>
  <c r="J10" i="9"/>
  <c r="I10" i="9"/>
  <c r="H10" i="9"/>
  <c r="O9" i="9"/>
  <c r="N9" i="9"/>
  <c r="M9" i="9"/>
  <c r="L9" i="9"/>
  <c r="K9" i="9"/>
  <c r="J9" i="9"/>
  <c r="I9" i="9"/>
  <c r="H9" i="9"/>
  <c r="O8" i="9"/>
  <c r="N8" i="9"/>
  <c r="M8" i="9"/>
  <c r="L8" i="9"/>
  <c r="K8" i="9"/>
  <c r="J8" i="9"/>
  <c r="I8" i="9"/>
  <c r="H8" i="9"/>
  <c r="O7" i="9"/>
  <c r="N7" i="9"/>
  <c r="M7" i="9"/>
  <c r="L7" i="9"/>
  <c r="K7" i="9"/>
  <c r="J7" i="9"/>
  <c r="I7" i="9"/>
  <c r="H7" i="9"/>
  <c r="O6" i="9"/>
  <c r="N6" i="9"/>
  <c r="M6" i="9"/>
  <c r="L6" i="9"/>
  <c r="K6" i="9"/>
  <c r="J6" i="9"/>
  <c r="I6" i="9"/>
  <c r="H6" i="9"/>
  <c r="O5" i="9"/>
  <c r="N5" i="9"/>
  <c r="M5" i="9"/>
  <c r="L5" i="9"/>
  <c r="K5" i="9"/>
  <c r="J5" i="9"/>
  <c r="I5" i="9"/>
  <c r="H5" i="9"/>
  <c r="O4" i="9"/>
  <c r="N4" i="9"/>
  <c r="M4" i="9"/>
  <c r="L4" i="9"/>
  <c r="K4" i="9"/>
  <c r="J4" i="9"/>
  <c r="I4" i="9"/>
  <c r="H4" i="9"/>
  <c r="O3" i="9"/>
  <c r="N3" i="9"/>
  <c r="M3" i="9"/>
  <c r="L3" i="9"/>
  <c r="K3" i="9"/>
  <c r="J3" i="9"/>
  <c r="I3" i="9"/>
  <c r="H3" i="9"/>
  <c r="O2" i="9"/>
  <c r="N2" i="9"/>
  <c r="N53" i="9" s="1"/>
  <c r="M2" i="9"/>
  <c r="L2" i="9"/>
  <c r="K2" i="9"/>
  <c r="J2" i="9"/>
  <c r="I2" i="9"/>
  <c r="H2" i="9"/>
  <c r="O14" i="1"/>
  <c r="O30" i="1"/>
  <c r="O46" i="1"/>
  <c r="D54" i="1"/>
  <c r="G54" i="1"/>
  <c r="Y3" i="3"/>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J2" i="1"/>
  <c r="O2" i="1" s="1"/>
  <c r="J3" i="1"/>
  <c r="O3" i="1" s="1"/>
  <c r="J4" i="1"/>
  <c r="O4" i="1" s="1"/>
  <c r="J5" i="1"/>
  <c r="O5" i="1" s="1"/>
  <c r="J6" i="1"/>
  <c r="O6" i="1" s="1"/>
  <c r="J7" i="1"/>
  <c r="O7" i="1" s="1"/>
  <c r="J8" i="1"/>
  <c r="O8" i="1" s="1"/>
  <c r="J9" i="1"/>
  <c r="O9" i="1" s="1"/>
  <c r="J10" i="1"/>
  <c r="O10" i="1" s="1"/>
  <c r="J11" i="1"/>
  <c r="O11" i="1" s="1"/>
  <c r="J12" i="1"/>
  <c r="O12" i="1" s="1"/>
  <c r="J13" i="1"/>
  <c r="O13" i="1" s="1"/>
  <c r="J14" i="1"/>
  <c r="J15" i="1"/>
  <c r="O15" i="1" s="1"/>
  <c r="J16" i="1"/>
  <c r="O16" i="1" s="1"/>
  <c r="J17" i="1"/>
  <c r="O17" i="1" s="1"/>
  <c r="J18" i="1"/>
  <c r="O18" i="1" s="1"/>
  <c r="J19" i="1"/>
  <c r="O19" i="1" s="1"/>
  <c r="J20" i="1"/>
  <c r="O20" i="1" s="1"/>
  <c r="J21" i="1"/>
  <c r="O21" i="1" s="1"/>
  <c r="J22" i="1"/>
  <c r="O22" i="1" s="1"/>
  <c r="J23" i="1"/>
  <c r="O23" i="1" s="1"/>
  <c r="J24" i="1"/>
  <c r="O24" i="1" s="1"/>
  <c r="J25" i="1"/>
  <c r="O25" i="1" s="1"/>
  <c r="J26" i="1"/>
  <c r="O26" i="1" s="1"/>
  <c r="J27" i="1"/>
  <c r="O27" i="1" s="1"/>
  <c r="J28" i="1"/>
  <c r="O28" i="1" s="1"/>
  <c r="J29" i="1"/>
  <c r="O29" i="1" s="1"/>
  <c r="J30" i="1"/>
  <c r="J31" i="1"/>
  <c r="O31" i="1" s="1"/>
  <c r="J32" i="1"/>
  <c r="O32" i="1" s="1"/>
  <c r="J33" i="1"/>
  <c r="O33" i="1" s="1"/>
  <c r="J34" i="1"/>
  <c r="O34" i="1" s="1"/>
  <c r="J35" i="1"/>
  <c r="O35" i="1" s="1"/>
  <c r="J36" i="1"/>
  <c r="O36" i="1" s="1"/>
  <c r="J37" i="1"/>
  <c r="O37" i="1" s="1"/>
  <c r="J38" i="1"/>
  <c r="O38" i="1" s="1"/>
  <c r="J39" i="1"/>
  <c r="O39" i="1" s="1"/>
  <c r="J40" i="1"/>
  <c r="O40" i="1" s="1"/>
  <c r="J41" i="1"/>
  <c r="O41" i="1" s="1"/>
  <c r="J42" i="1"/>
  <c r="O42" i="1" s="1"/>
  <c r="J43" i="1"/>
  <c r="O43" i="1" s="1"/>
  <c r="J44" i="1"/>
  <c r="O44" i="1" s="1"/>
  <c r="J45" i="1"/>
  <c r="O45" i="1" s="1"/>
  <c r="J46" i="1"/>
  <c r="J47" i="1"/>
  <c r="O47" i="1" s="1"/>
  <c r="J48" i="1"/>
  <c r="O48" i="1" s="1"/>
  <c r="J49" i="1"/>
  <c r="O49" i="1" s="1"/>
  <c r="J50" i="1"/>
  <c r="O50" i="1" s="1"/>
  <c r="J51" i="1"/>
  <c r="O51"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H2" i="1"/>
  <c r="N2" i="1" s="1"/>
  <c r="H3" i="1"/>
  <c r="N3" i="1" s="1"/>
  <c r="H4" i="1"/>
  <c r="N4" i="1" s="1"/>
  <c r="H5" i="1"/>
  <c r="N5" i="1" s="1"/>
  <c r="H6" i="1"/>
  <c r="N6" i="1" s="1"/>
  <c r="H7" i="1"/>
  <c r="N7" i="1" s="1"/>
  <c r="H8" i="1"/>
  <c r="N8" i="1" s="1"/>
  <c r="H9" i="1"/>
  <c r="N9" i="1" s="1"/>
  <c r="H10" i="1"/>
  <c r="N10" i="1" s="1"/>
  <c r="H11" i="1"/>
  <c r="N11" i="1" s="1"/>
  <c r="H12" i="1"/>
  <c r="N12" i="1" s="1"/>
  <c r="H13" i="1"/>
  <c r="N13" i="1" s="1"/>
  <c r="H14" i="1"/>
  <c r="N14" i="1" s="1"/>
  <c r="H15" i="1"/>
  <c r="N15" i="1" s="1"/>
  <c r="H16" i="1"/>
  <c r="N16" i="1" s="1"/>
  <c r="H17" i="1"/>
  <c r="N17" i="1" s="1"/>
  <c r="H18" i="1"/>
  <c r="N18" i="1" s="1"/>
  <c r="H19" i="1"/>
  <c r="N19" i="1" s="1"/>
  <c r="H20" i="1"/>
  <c r="N20" i="1" s="1"/>
  <c r="H21" i="1"/>
  <c r="N21" i="1" s="1"/>
  <c r="H22" i="1"/>
  <c r="N22" i="1" s="1"/>
  <c r="H23" i="1"/>
  <c r="N23" i="1" s="1"/>
  <c r="H24" i="1"/>
  <c r="N24" i="1" s="1"/>
  <c r="H25" i="1"/>
  <c r="N25" i="1" s="1"/>
  <c r="H26" i="1"/>
  <c r="N26" i="1" s="1"/>
  <c r="H27" i="1"/>
  <c r="N27" i="1" s="1"/>
  <c r="H28" i="1"/>
  <c r="N28" i="1" s="1"/>
  <c r="H29" i="1"/>
  <c r="N29" i="1" s="1"/>
  <c r="H30" i="1"/>
  <c r="N30" i="1" s="1"/>
  <c r="H31" i="1"/>
  <c r="N31" i="1" s="1"/>
  <c r="H32" i="1"/>
  <c r="N32" i="1" s="1"/>
  <c r="H33" i="1"/>
  <c r="N33" i="1" s="1"/>
  <c r="H34" i="1"/>
  <c r="N34" i="1" s="1"/>
  <c r="H35" i="1"/>
  <c r="N35" i="1" s="1"/>
  <c r="H36" i="1"/>
  <c r="N36" i="1" s="1"/>
  <c r="H37" i="1"/>
  <c r="N37" i="1" s="1"/>
  <c r="H38" i="1"/>
  <c r="N38" i="1" s="1"/>
  <c r="H39" i="1"/>
  <c r="N39" i="1" s="1"/>
  <c r="H40" i="1"/>
  <c r="N40" i="1" s="1"/>
  <c r="H41" i="1"/>
  <c r="N41" i="1" s="1"/>
  <c r="H42" i="1"/>
  <c r="N42" i="1" s="1"/>
  <c r="H43" i="1"/>
  <c r="N43" i="1" s="1"/>
  <c r="H44" i="1"/>
  <c r="N44" i="1" s="1"/>
  <c r="H45" i="1"/>
  <c r="N45" i="1" s="1"/>
  <c r="H46" i="1"/>
  <c r="N46" i="1" s="1"/>
  <c r="H47" i="1"/>
  <c r="N47" i="1" s="1"/>
  <c r="H48" i="1"/>
  <c r="N48" i="1" s="1"/>
  <c r="H49" i="1"/>
  <c r="N49" i="1" s="1"/>
  <c r="H50" i="1"/>
  <c r="N50" i="1" s="1"/>
  <c r="H51" i="1"/>
  <c r="N51" i="1" l="1"/>
  <c r="N53" i="1" s="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harmacy_dataset.xlsx!Table3" type="102" refreshedVersion="5" minRefreshableVersion="5">
    <extLst>
      <ext xmlns:x15="http://schemas.microsoft.com/office/spreadsheetml/2010/11/main" uri="{DE250136-89BD-433C-8126-D09CA5730AF9}">
        <x15:connection id="Table3-d3a4e136-50d8-4fbf-a088-475a43908701" autoDelete="1">
          <x15:rangePr sourceName="_xlcn.WorksheetConnection_pharmacy_dataset.xlsxTable31"/>
        </x15:connection>
      </ext>
    </extLst>
  </connection>
</connections>
</file>

<file path=xl/sharedStrings.xml><?xml version="1.0" encoding="utf-8"?>
<sst xmlns="http://schemas.openxmlformats.org/spreadsheetml/2006/main" count="407" uniqueCount="152">
  <si>
    <t>Product</t>
  </si>
  <si>
    <t>Category</t>
  </si>
  <si>
    <t>Qty</t>
  </si>
  <si>
    <t>Selling Price (₦)</t>
  </si>
  <si>
    <t>Expiry Date</t>
  </si>
  <si>
    <t>Units Sold (Monthly)</t>
  </si>
  <si>
    <t>Paracetamol 500mg</t>
  </si>
  <si>
    <t>Pain Relief</t>
  </si>
  <si>
    <t>2026-06-20</t>
  </si>
  <si>
    <t>Amoxicillin 500mg</t>
  </si>
  <si>
    <t>Antibiotic</t>
  </si>
  <si>
    <t>2026-05-15</t>
  </si>
  <si>
    <t>Vitamin C</t>
  </si>
  <si>
    <t>Supplement</t>
  </si>
  <si>
    <t>2026-12-10</t>
  </si>
  <si>
    <t>Ibuprofen 400mg</t>
  </si>
  <si>
    <t>2026-04-30</t>
  </si>
  <si>
    <t>Cough Syrup</t>
  </si>
  <si>
    <t>Syrup</t>
  </si>
  <si>
    <t>2026-03-25</t>
  </si>
  <si>
    <t>Antimalarial Tabs</t>
  </si>
  <si>
    <t>Malaria</t>
  </si>
  <si>
    <t>2026-08-18</t>
  </si>
  <si>
    <t>Antiseptic Cream</t>
  </si>
  <si>
    <t>First Aid</t>
  </si>
  <si>
    <t>2027-01-10</t>
  </si>
  <si>
    <t>ORS Sachet</t>
  </si>
  <si>
    <t>Rehydration</t>
  </si>
  <si>
    <t>2026-07-05</t>
  </si>
  <si>
    <t>Multivitamin</t>
  </si>
  <si>
    <t>2026-11-22</t>
  </si>
  <si>
    <t>BP Tablets A</t>
  </si>
  <si>
    <t>Chronic Care</t>
  </si>
  <si>
    <t>2027-02-15</t>
  </si>
  <si>
    <t>Antacid Tablets</t>
  </si>
  <si>
    <t>Digestive</t>
  </si>
  <si>
    <t>2026-09-10</t>
  </si>
  <si>
    <t>Pain Relief Gel</t>
  </si>
  <si>
    <t>2026-10-05</t>
  </si>
  <si>
    <t>Antifungal Cream</t>
  </si>
  <si>
    <t>Skin Care</t>
  </si>
  <si>
    <t>2026-08-30</t>
  </si>
  <si>
    <t>Insulin</t>
  </si>
  <si>
    <t>Diabetes</t>
  </si>
  <si>
    <t>2026-05-01</t>
  </si>
  <si>
    <t>Eye Drops</t>
  </si>
  <si>
    <t>Eye Care</t>
  </si>
  <si>
    <t>2026-12-01</t>
  </si>
  <si>
    <t>Zinc Tablets</t>
  </si>
  <si>
    <t>2026-11-15</t>
  </si>
  <si>
    <t>Antibiotic Syrup</t>
  </si>
  <si>
    <t>2026-06-10</t>
  </si>
  <si>
    <t>Vitamin B Complex</t>
  </si>
  <si>
    <t>2027-01-20</t>
  </si>
  <si>
    <t>Anti-Malaria Syrup</t>
  </si>
  <si>
    <t>2026-04-25</t>
  </si>
  <si>
    <t>Cough Lozenges</t>
  </si>
  <si>
    <t>2026-09-05</t>
  </si>
  <si>
    <t>Paracetamol 1000mg</t>
  </si>
  <si>
    <t>2026-06-15</t>
  </si>
  <si>
    <t>Antibiotic Capsules</t>
  </si>
  <si>
    <t>2026-05-28</t>
  </si>
  <si>
    <t>Skin Ointment</t>
  </si>
  <si>
    <t>2026-10-20</t>
  </si>
  <si>
    <t>BP Tablets B</t>
  </si>
  <si>
    <t>2027-03-10</t>
  </si>
  <si>
    <t>ORS Powder</t>
  </si>
  <si>
    <t>2026-07-18</t>
  </si>
  <si>
    <t>Multivitamin Syrup</t>
  </si>
  <si>
    <t>2026-12-25</t>
  </si>
  <si>
    <t>Anti-Allergy Tablets</t>
  </si>
  <si>
    <t>Allergy</t>
  </si>
  <si>
    <t>2026-09-30</t>
  </si>
  <si>
    <t>Malaria Injection</t>
  </si>
  <si>
    <t>2026-06-05</t>
  </si>
  <si>
    <t>Pain Balm</t>
  </si>
  <si>
    <t>2026-08-15</t>
  </si>
  <si>
    <t>Vitamin D Tablets</t>
  </si>
  <si>
    <t>2026-11-10</t>
  </si>
  <si>
    <t>Eye Ointment</t>
  </si>
  <si>
    <t>2026-12-18</t>
  </si>
  <si>
    <t>Cough Syrup Kids</t>
  </si>
  <si>
    <t>2026-03-28</t>
  </si>
  <si>
    <t>Antibiotic Cream</t>
  </si>
  <si>
    <t>2026-05-12</t>
  </si>
  <si>
    <t>Antifungal Tablets</t>
  </si>
  <si>
    <t>2026-07-22</t>
  </si>
  <si>
    <t>Pain Relief Tablets</t>
  </si>
  <si>
    <t>2026-06-30</t>
  </si>
  <si>
    <t>Blood Sugar Test Strips</t>
  </si>
  <si>
    <t>2026-10-10</t>
  </si>
  <si>
    <t>ORS Liquid</t>
  </si>
  <si>
    <t>2026-07-08</t>
  </si>
  <si>
    <t>Multivitamin Capsules</t>
  </si>
  <si>
    <t>2026-12-12</t>
  </si>
  <si>
    <t>Antiseptic Liquid</t>
  </si>
  <si>
    <t>2027-01-05</t>
  </si>
  <si>
    <t>Cough Medicine Strong</t>
  </si>
  <si>
    <t>2026-04-18</t>
  </si>
  <si>
    <t>Antimalarial Injection</t>
  </si>
  <si>
    <t>2026-05-25</t>
  </si>
  <si>
    <t>Pain Relief Spray</t>
  </si>
  <si>
    <t>2026-08-28</t>
  </si>
  <si>
    <t>Vitamin C Chewable</t>
  </si>
  <si>
    <t>2026-11-30</t>
  </si>
  <si>
    <t>Antibiotic Suspension</t>
  </si>
  <si>
    <t>2026-06-14</t>
  </si>
  <si>
    <t>Skin Lotion</t>
  </si>
  <si>
    <t>2026-09-20</t>
  </si>
  <si>
    <t>ORS Packets</t>
  </si>
  <si>
    <t>2026-07-12</t>
  </si>
  <si>
    <t>BP Tablets C</t>
  </si>
  <si>
    <t>2027-02-28</t>
  </si>
  <si>
    <t>Eye Drops Lubricant</t>
  </si>
  <si>
    <t>2026-12-05</t>
  </si>
  <si>
    <t>Antifungal Spray</t>
  </si>
  <si>
    <t>2026-08-10</t>
  </si>
  <si>
    <t>Pain Relief Capsules</t>
  </si>
  <si>
    <t>2026-06-25</t>
  </si>
  <si>
    <t>Unit Cost (₦)*</t>
  </si>
  <si>
    <t>Revenue</t>
  </si>
  <si>
    <t>Monthly Profit</t>
  </si>
  <si>
    <t>Stock Value</t>
  </si>
  <si>
    <t>Remaining Stock</t>
  </si>
  <si>
    <t>Expiry Alert</t>
  </si>
  <si>
    <t>Total Profit</t>
  </si>
  <si>
    <t>Row Labels</t>
  </si>
  <si>
    <t>EXPIRING SOON</t>
  </si>
  <si>
    <t>OK</t>
  </si>
  <si>
    <t>Grand Total</t>
  </si>
  <si>
    <t>Sum of Unit Cost (₦)*</t>
  </si>
  <si>
    <t>Sum of Units Sold (Monthly)</t>
  </si>
  <si>
    <t>Sum of Remaining Stock</t>
  </si>
  <si>
    <t>Count of Product</t>
  </si>
  <si>
    <t>Profit per Unit</t>
  </si>
  <si>
    <t>Sum of Total Profit2</t>
  </si>
  <si>
    <t>Month</t>
  </si>
  <si>
    <t>Apr</t>
  </si>
  <si>
    <t>Aug</t>
  </si>
  <si>
    <t>Dec</t>
  </si>
  <si>
    <t>Feb</t>
  </si>
  <si>
    <t>Jan</t>
  </si>
  <si>
    <t>Jul</t>
  </si>
  <si>
    <t>Jun</t>
  </si>
  <si>
    <t>Mar</t>
  </si>
  <si>
    <t>May</t>
  </si>
  <si>
    <t>Nov</t>
  </si>
  <si>
    <t>Oct</t>
  </si>
  <si>
    <t>Sep</t>
  </si>
  <si>
    <t>Count of Total Revenue</t>
  </si>
  <si>
    <t xml:space="preserve"> Total Profit</t>
  </si>
  <si>
    <t xml:space="preserve">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</si>
</sst>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NGN]\ * #,##0.00_);_([$NGN]\ * \(#,##0.00\);_([$NGN]\ *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wrapText="1"/>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Alignment="1">
      <alignment wrapText="1"/>
    </xf>
    <xf numFmtId="16" fontId="0" fillId="0" borderId="0" xfId="0" applyNumberFormat="1"/>
    <xf numFmtId="16" fontId="0" fillId="0" borderId="0" xfId="0" applyNumberFormat="1" applyAlignment="1">
      <alignment horizontal="center" vertical="center"/>
    </xf>
  </cellXfs>
  <cellStyles count="1">
    <cellStyle name="Normal" xfId="0" builtinId="0"/>
  </cellStyles>
  <dxfs count="50">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readingOrder="0"/>
    </dxf>
    <dxf>
      <numFmt numFmtId="164" formatCode="_([$NGN]\ * #,##0.00_);_([$NGN]\ * \(#,##0.00\);_([$NGN]\ * &quot;-&quot;??_);_(@_)"/>
    </dxf>
    <dxf>
      <numFmt numFmtId="164" formatCode="_([$NGN]\ * #,##0.00_);_([$NGN]\ * \(#,##0.00\);_([$NGN]\ * &quot;-&quot;??_);_(@_)"/>
    </dxf>
    <dxf>
      <numFmt numFmtId="164" formatCode="_([$NGN]\ * #,##0.00_);_([$NGN]\ * \(#,##0.00\);_([$NGN]\ * &quot;-&quot;??_);_(@_)"/>
    </dxf>
    <dxf>
      <alignment wrapText="1" readingOrder="0"/>
    </dxf>
    <dxf>
      <numFmt numFmtId="164" formatCode="_([$NGN]\ * #,##0.00_);_([$NGN]\ * \(#,##0.00\);_([$NGN]\ * &quot;-&quot;??_);_(@_)"/>
    </dxf>
    <dxf>
      <numFmt numFmtId="164" formatCode="_([$NGN]\ * #,##0.00_);_([$NGN]\ * \(#,##0.00\);_([$NGN]\ * &quot;-&quot;??_);_(@_)"/>
    </dxf>
    <dxf>
      <numFmt numFmtId="164" formatCode="_([$NGN]\ * #,##0.00_);_([$NGN]\ * \(#,##0.00\);_([$NGN]\ * &quot;-&quot;??_);_(@_)"/>
    </dxf>
    <dxf>
      <alignment wrapText="1" readingOrder="0"/>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0" formatCode="General"/>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[pharmacy_dataset_cleaned.xlsx]Pharmacy_Pivot_Table!PivotTable2</c:name>
    <c:fmtId val="13"/>
  </c:pivotSource>
  <c:chart>
    <c:autoTitleDeleted val="1"/>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Pharmacy_Pivot_Table!$B$3</c:f>
              <c:strCache>
                <c:ptCount val="1"/>
                <c:pt idx="0">
                  <c:v>Total</c:v>
                </c:pt>
              </c:strCache>
            </c:strRef>
          </c:tx>
          <c:spPr>
            <a:solidFill>
              <a:schemeClr val="accent1"/>
            </a:solidFill>
            <a:ln>
              <a:noFill/>
            </a:ln>
            <a:effectLst/>
          </c:spPr>
          <c:invertIfNegative val="0"/>
          <c:cat>
            <c:strRef>
              <c:f>Pharmacy_Pivot_Table!$A$4:$A$17</c:f>
              <c:strCache>
                <c:ptCount val="13"/>
                <c:pt idx="0">
                  <c:v>Allergy</c:v>
                </c:pt>
                <c:pt idx="1">
                  <c:v>Antibiotic</c:v>
                </c:pt>
                <c:pt idx="2">
                  <c:v>Chronic Care</c:v>
                </c:pt>
                <c:pt idx="3">
                  <c:v>Diabetes</c:v>
                </c:pt>
                <c:pt idx="4">
                  <c:v>Digestive</c:v>
                </c:pt>
                <c:pt idx="5">
                  <c:v>Eye Care</c:v>
                </c:pt>
                <c:pt idx="6">
                  <c:v>First Aid</c:v>
                </c:pt>
                <c:pt idx="7">
                  <c:v>Malaria</c:v>
                </c:pt>
                <c:pt idx="8">
                  <c:v>Pain Relief</c:v>
                </c:pt>
                <c:pt idx="9">
                  <c:v>Rehydration</c:v>
                </c:pt>
                <c:pt idx="10">
                  <c:v>Skin Care</c:v>
                </c:pt>
                <c:pt idx="11">
                  <c:v>Supplement</c:v>
                </c:pt>
                <c:pt idx="12">
                  <c:v>Syrup</c:v>
                </c:pt>
              </c:strCache>
            </c:strRef>
          </c:cat>
          <c:val>
            <c:numRef>
              <c:f>Pharmacy_Pivot_Table!$B$4:$B$17</c:f>
              <c:numCache>
                <c:formatCode>General</c:formatCode>
                <c:ptCount val="13"/>
                <c:pt idx="0">
                  <c:v>37500</c:v>
                </c:pt>
                <c:pt idx="1">
                  <c:v>222250</c:v>
                </c:pt>
                <c:pt idx="2">
                  <c:v>145000</c:v>
                </c:pt>
                <c:pt idx="3">
                  <c:v>125000</c:v>
                </c:pt>
                <c:pt idx="4">
                  <c:v>30000</c:v>
                </c:pt>
                <c:pt idx="5">
                  <c:v>115000</c:v>
                </c:pt>
                <c:pt idx="6">
                  <c:v>55750</c:v>
                </c:pt>
                <c:pt idx="7">
                  <c:v>280500</c:v>
                </c:pt>
                <c:pt idx="8">
                  <c:v>287500</c:v>
                </c:pt>
                <c:pt idx="9">
                  <c:v>107500</c:v>
                </c:pt>
                <c:pt idx="10">
                  <c:v>196000</c:v>
                </c:pt>
                <c:pt idx="11">
                  <c:v>320250</c:v>
                </c:pt>
                <c:pt idx="12">
                  <c:v>171000</c:v>
                </c:pt>
              </c:numCache>
            </c:numRef>
          </c:val>
        </c:ser>
        <c:dLbls>
          <c:dLblPos val="outEnd"/>
          <c:showLegendKey val="0"/>
          <c:showVal val="0"/>
          <c:showCatName val="0"/>
          <c:showSerName val="0"/>
          <c:showPercent val="0"/>
          <c:showBubbleSize val="0"/>
        </c:dLbls>
        <c:gapWidth val="219"/>
        <c:overlap val="-27"/>
        <c:axId val="386465392"/>
        <c:axId val="386464608"/>
      </c:barChart>
      <c:catAx>
        <c:axId val="3864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4608"/>
        <c:crosses val="autoZero"/>
        <c:auto val="1"/>
        <c:lblAlgn val="ctr"/>
        <c:lblOffset val="100"/>
        <c:noMultiLvlLbl val="0"/>
      </c:catAx>
      <c:valAx>
        <c:axId val="38646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[pharmacy_dataset_cleaned.xlsx]Pharmacy_Pivot_Table!PivotTable4</c:name>
    <c:fmtId val="16"/>
  </c:pivotSource>
  <c:chart>
    <c:autoTitleDeleted val="1"/>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Pharmacy_Pivot_Table!$H$3</c:f>
              <c:strCache>
                <c:ptCount val="1"/>
                <c:pt idx="0">
                  <c:v>Total</c:v>
                </c:pt>
              </c:strCache>
            </c:strRef>
          </c:tx>
          <c:spPr>
            <a:solidFill>
              <a:schemeClr val="accent1"/>
            </a:solidFill>
            <a:ln>
              <a:noFill/>
            </a:ln>
            <a:effectLst/>
          </c:spPr>
          <c:invertIfNegative val="0"/>
          <c:cat>
            <c:strRef>
              <c:f>Pharmacy_Pivot_Table!$G$4:$G$6</c:f>
              <c:strCache>
                <c:ptCount val="2"/>
                <c:pt idx="0">
                  <c:v>EXPIRING SOON</c:v>
                </c:pt>
                <c:pt idx="1">
                  <c:v>OK</c:v>
                </c:pt>
              </c:strCache>
            </c:strRef>
          </c:cat>
          <c:val>
            <c:numRef>
              <c:f>Pharmacy_Pivot_Table!$H$4:$H$6</c:f>
              <c:numCache>
                <c:formatCode>General</c:formatCode>
                <c:ptCount val="2"/>
                <c:pt idx="0">
                  <c:v>23</c:v>
                </c:pt>
                <c:pt idx="1">
                  <c:v>27</c:v>
                </c:pt>
              </c:numCache>
            </c:numRef>
          </c:val>
        </c:ser>
        <c:dLbls>
          <c:showLegendKey val="0"/>
          <c:showVal val="0"/>
          <c:showCatName val="0"/>
          <c:showSerName val="0"/>
          <c:showPercent val="0"/>
          <c:showBubbleSize val="0"/>
        </c:dLbls>
        <c:gapWidth val="219"/>
        <c:overlap val="-27"/>
        <c:axId val="386464216"/>
        <c:axId val="386465000"/>
      </c:barChart>
      <c:catAx>
        <c:axId val="386464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5000"/>
        <c:crosses val="autoZero"/>
        <c:auto val="1"/>
        <c:lblAlgn val="ctr"/>
        <c:lblOffset val="100"/>
        <c:noMultiLvlLbl val="0"/>
      </c:catAx>
      <c:valAx>
        <c:axId val="386465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4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[pharmacy_dataset_cleaned.xlsx]Pharmacy_Pivot_Table!PivotTable5</c:name>
    <c:fmtId val="29"/>
  </c:pivotSource>
  <c:chart>
    <c:autoTitleDeleted val="1"/>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Pharmacy_Pivot_Table!$H$10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Pharmacy_Pivot_Table!$G$11:$G$26</c:f>
              <c:strCache>
                <c:ptCount val="15"/>
                <c:pt idx="0">
                  <c:v>Antacid Tablets</c:v>
                </c:pt>
                <c:pt idx="1">
                  <c:v>Antifungal Cream</c:v>
                </c:pt>
                <c:pt idx="2">
                  <c:v>Antiseptic Cream</c:v>
                </c:pt>
                <c:pt idx="3">
                  <c:v>Cough Lozenges</c:v>
                </c:pt>
                <c:pt idx="4">
                  <c:v>Eye Drops</c:v>
                </c:pt>
                <c:pt idx="5">
                  <c:v>Multivitamin</c:v>
                </c:pt>
                <c:pt idx="6">
                  <c:v>ORS Liquid</c:v>
                </c:pt>
                <c:pt idx="7">
                  <c:v>ORS Powder</c:v>
                </c:pt>
                <c:pt idx="8">
                  <c:v>ORS Sachet</c:v>
                </c:pt>
                <c:pt idx="9">
                  <c:v>Paracetamol 500mg</c:v>
                </c:pt>
                <c:pt idx="10">
                  <c:v>Skin Lotion</c:v>
                </c:pt>
                <c:pt idx="11">
                  <c:v>Skin Ointment</c:v>
                </c:pt>
                <c:pt idx="12">
                  <c:v>Vitamin B Complex</c:v>
                </c:pt>
                <c:pt idx="13">
                  <c:v>Vitamin C</c:v>
                </c:pt>
                <c:pt idx="14">
                  <c:v>Zinc Tablets</c:v>
                </c:pt>
              </c:strCache>
            </c:strRef>
          </c:cat>
          <c:val>
            <c:numRef>
              <c:f>Pharmacy_Pivot_Table!$H$11:$H$26</c:f>
              <c:numCache>
                <c:formatCode>General</c:formatCode>
                <c:ptCount val="15"/>
                <c:pt idx="0">
                  <c:v>35</c:v>
                </c:pt>
                <c:pt idx="1">
                  <c:v>35</c:v>
                </c:pt>
                <c:pt idx="2">
                  <c:v>45</c:v>
                </c:pt>
                <c:pt idx="3">
                  <c:v>30</c:v>
                </c:pt>
                <c:pt idx="4">
                  <c:v>35</c:v>
                </c:pt>
                <c:pt idx="5">
                  <c:v>55</c:v>
                </c:pt>
                <c:pt idx="6">
                  <c:v>30</c:v>
                </c:pt>
                <c:pt idx="7">
                  <c:v>30</c:v>
                </c:pt>
                <c:pt idx="8">
                  <c:v>30</c:v>
                </c:pt>
                <c:pt idx="9">
                  <c:v>40</c:v>
                </c:pt>
                <c:pt idx="10">
                  <c:v>30</c:v>
                </c:pt>
                <c:pt idx="11">
                  <c:v>30</c:v>
                </c:pt>
                <c:pt idx="12">
                  <c:v>30</c:v>
                </c:pt>
                <c:pt idx="13">
                  <c:v>50</c:v>
                </c:pt>
                <c:pt idx="14">
                  <c:v>30</c:v>
                </c:pt>
              </c:numCache>
            </c:numRef>
          </c:val>
        </c:ser>
        <c:dLbls>
          <c:showLegendKey val="0"/>
          <c:showVal val="0"/>
          <c:showCatName val="0"/>
          <c:showSerName val="0"/>
          <c:showPercent val="0"/>
          <c:showBubbleSize val="0"/>
        </c:dLbls>
        <c:gapWidth val="150"/>
        <c:overlap val="100"/>
        <c:axId val="226377288"/>
        <c:axId val="226379248"/>
      </c:barChart>
      <c:catAx>
        <c:axId val="226377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9248"/>
        <c:crosses val="autoZero"/>
        <c:auto val="1"/>
        <c:lblAlgn val="ctr"/>
        <c:lblOffset val="100"/>
        <c:noMultiLvlLbl val="0"/>
      </c:catAx>
      <c:valAx>
        <c:axId val="22637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72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[pharmacy_dataset_cleaned.xlsx]Pharmacy_Pivot_Table!PivotTable3</c:name>
    <c:fmtId val="14"/>
  </c:pivotSource>
  <c:chart>
    <c:autoTitleDeleted val="1"/>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Pharmacy_Pivot_Table!$E$3</c:f>
              <c:strCache>
                <c:ptCount val="1"/>
                <c:pt idx="0">
                  <c:v>Total</c:v>
                </c:pt>
              </c:strCache>
            </c:strRef>
          </c:tx>
          <c:spPr>
            <a:solidFill>
              <a:schemeClr val="accent1"/>
            </a:solidFill>
            <a:ln>
              <a:noFill/>
            </a:ln>
            <a:effectLst/>
          </c:spPr>
          <c:invertIfNegative val="0"/>
          <c:cat>
            <c:strRef>
              <c:f>Pharmacy_Pivot_Table!$D$4:$D$17</c:f>
              <c:strCache>
                <c:ptCount val="13"/>
                <c:pt idx="0">
                  <c:v>Antibiotic Cream</c:v>
                </c:pt>
                <c:pt idx="1">
                  <c:v>Antibiotic Suspension</c:v>
                </c:pt>
                <c:pt idx="2">
                  <c:v>Anti-Malaria Syrup</c:v>
                </c:pt>
                <c:pt idx="3">
                  <c:v>Antimalarial Tabs</c:v>
                </c:pt>
                <c:pt idx="4">
                  <c:v>BP Tablets C</c:v>
                </c:pt>
                <c:pt idx="5">
                  <c:v>Cough Medicine Strong</c:v>
                </c:pt>
                <c:pt idx="6">
                  <c:v>Cough Syrup Kids</c:v>
                </c:pt>
                <c:pt idx="7">
                  <c:v>Insulin</c:v>
                </c:pt>
                <c:pt idx="8">
                  <c:v>Malaria Injection</c:v>
                </c:pt>
                <c:pt idx="9">
                  <c:v>Multivitamin Capsules</c:v>
                </c:pt>
                <c:pt idx="10">
                  <c:v>Multivitamin Syrup</c:v>
                </c:pt>
                <c:pt idx="11">
                  <c:v>Pain Relief Spray</c:v>
                </c:pt>
                <c:pt idx="12">
                  <c:v>Vitamin C Chewable</c:v>
                </c:pt>
              </c:strCache>
            </c:strRef>
          </c:cat>
          <c:val>
            <c:numRef>
              <c:f>Pharmacy_Pivot_Table!$E$4:$E$17</c:f>
              <c:numCache>
                <c:formatCode>General</c:formatCode>
                <c:ptCount val="13"/>
                <c:pt idx="0">
                  <c:v>20000</c:v>
                </c:pt>
                <c:pt idx="1">
                  <c:v>20000</c:v>
                </c:pt>
                <c:pt idx="2">
                  <c:v>20000</c:v>
                </c:pt>
                <c:pt idx="3">
                  <c:v>45000</c:v>
                </c:pt>
                <c:pt idx="4">
                  <c:v>21000</c:v>
                </c:pt>
                <c:pt idx="5">
                  <c:v>22500</c:v>
                </c:pt>
                <c:pt idx="6">
                  <c:v>28000</c:v>
                </c:pt>
                <c:pt idx="7">
                  <c:v>20000</c:v>
                </c:pt>
                <c:pt idx="8">
                  <c:v>22500</c:v>
                </c:pt>
                <c:pt idx="9">
                  <c:v>24500</c:v>
                </c:pt>
                <c:pt idx="10">
                  <c:v>22000</c:v>
                </c:pt>
                <c:pt idx="11">
                  <c:v>22000</c:v>
                </c:pt>
                <c:pt idx="12">
                  <c:v>20000</c:v>
                </c:pt>
              </c:numCache>
            </c:numRef>
          </c:val>
        </c:ser>
        <c:dLbls>
          <c:showLegendKey val="0"/>
          <c:showVal val="0"/>
          <c:showCatName val="0"/>
          <c:showSerName val="0"/>
          <c:showPercent val="0"/>
          <c:showBubbleSize val="0"/>
        </c:dLbls>
        <c:gapWidth val="150"/>
        <c:axId val="377930632"/>
        <c:axId val="377932984"/>
      </c:barChart>
      <c:catAx>
        <c:axId val="377930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377932984"/>
        <c:crosses val="autoZero"/>
        <c:auto val="1"/>
        <c:lblAlgn val="ctr"/>
        <c:lblOffset val="100"/>
        <c:noMultiLvlLbl val="0"/>
      </c:catAx>
      <c:valAx>
        <c:axId val="3779329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7930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[pharmacy_dataset_cleaned.xlsx]Pharmacy_Pivot_Table!PivotTable16</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Pharmacy_Pivot_Table!$H$30</c:f>
              <c:strCache>
                <c:ptCount val="1"/>
                <c:pt idx="0">
                  <c:v>Total</c:v>
                </c:pt>
              </c:strCache>
            </c:strRef>
          </c:tx>
          <c:spPr>
            <a:ln w="28575" cap="rnd">
              <a:solidFill>
                <a:schemeClr val="accent1"/>
              </a:solidFill>
              <a:round/>
            </a:ln>
            <a:effectLst/>
          </c:spPr>
          <c:marker>
            <c:symbol val="none"/>
          </c:marker>
          <c:cat>
            <c:strRef>
              <c:f>Pharmacy_Pivot_Table!$G$31:$G$43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Pharmacy_Pivot_Table!$H$31:$H$43</c:f>
              <c:numCache>
                <c:formatCode>General</c:formatCode>
                <c:ptCount val="12"/>
                <c:pt idx="0">
                  <c:v>158750</c:v>
                </c:pt>
                <c:pt idx="1">
                  <c:v>45800</c:v>
                </c:pt>
                <c:pt idx="2">
                  <c:v>89000</c:v>
                </c:pt>
                <c:pt idx="3">
                  <c:v>132000</c:v>
                </c:pt>
                <c:pt idx="4">
                  <c:v>19500</c:v>
                </c:pt>
                <c:pt idx="5">
                  <c:v>21000</c:v>
                </c:pt>
                <c:pt idx="6">
                  <c:v>17000</c:v>
                </c:pt>
                <c:pt idx="7">
                  <c:v>99000</c:v>
                </c:pt>
                <c:pt idx="8">
                  <c:v>49000</c:v>
                </c:pt>
                <c:pt idx="9">
                  <c:v>132000</c:v>
                </c:pt>
                <c:pt idx="10">
                  <c:v>86250</c:v>
                </c:pt>
                <c:pt idx="11">
                  <c:v>13500</c:v>
                </c:pt>
              </c:numCache>
            </c:numRef>
          </c:val>
          <c:smooth val="0"/>
        </c:ser>
        <c:dLbls>
          <c:showLegendKey val="0"/>
          <c:showVal val="0"/>
          <c:showCatName val="0"/>
          <c:showSerName val="0"/>
          <c:showPercent val="0"/>
          <c:showBubbleSize val="0"/>
        </c:dLbls>
        <c:smooth val="0"/>
        <c:axId val="385021320"/>
        <c:axId val="385025632"/>
      </c:lineChart>
      <c:catAx>
        <c:axId val="38502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25632"/>
        <c:crosses val="autoZero"/>
        <c:auto val="1"/>
        <c:lblAlgn val="ctr"/>
        <c:lblOffset val="100"/>
        <c:noMultiLvlLbl val="0"/>
      </c:catAx>
      <c:valAx>
        <c:axId val="38502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21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381092</xdr:colOff>
      <xdr:row>0</xdr:row>
      <xdr:rowOff>104743</xdr:rowOff>
    </xdr:from>
    <xdr:to>
      <xdr:col>15</xdr:col>
      <xdr:colOff>330460</xdr:colOff>
      <xdr:row>3</xdr:row>
      <xdr:rowOff>15131</xdr:rowOff>
    </xdr:to>
    <xdr:sp macro="" textlink="">
      <xdr:nvSpPr>
        <xdr:cNvPr id="2" name="Rectangle 1"/>
        <xdr:cNvSpPr/>
      </xdr:nvSpPr>
      <xdr:spPr>
        <a:xfrm>
          <a:off x="993413" y="104743"/>
          <a:ext cx="8521868" cy="493551"/>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       OVICO</a:t>
          </a:r>
          <a:r>
            <a:rPr lang="en-US" sz="2800" b="1" baseline="0"/>
            <a:t> </a:t>
          </a:r>
          <a:r>
            <a:rPr lang="en-US" sz="2800" b="1"/>
            <a:t>Pharmacy</a:t>
          </a:r>
          <a:r>
            <a:rPr lang="en-US" sz="2800" b="1" baseline="0"/>
            <a:t> Dashboard</a:t>
          </a:r>
          <a:endParaRPr lang="en-US" sz="2800" b="1"/>
        </a:p>
      </xdr:txBody>
    </xdr:sp>
    <xdr:clientData/>
  </xdr:twoCellAnchor>
  <xdr:twoCellAnchor>
    <xdr:from>
      <xdr:col>0</xdr:col>
      <xdr:colOff>0</xdr:colOff>
      <xdr:row>0</xdr:row>
      <xdr:rowOff>60771</xdr:rowOff>
    </xdr:from>
    <xdr:to>
      <xdr:col>1</xdr:col>
      <xdr:colOff>291582</xdr:colOff>
      <xdr:row>22</xdr:row>
      <xdr:rowOff>108396</xdr:rowOff>
    </xdr:to>
    <xdr:sp macro="" textlink="">
      <xdr:nvSpPr>
        <xdr:cNvPr id="3" name="Rectangle 2"/>
        <xdr:cNvSpPr/>
      </xdr:nvSpPr>
      <xdr:spPr>
        <a:xfrm>
          <a:off x="0" y="60771"/>
          <a:ext cx="903903" cy="432415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391649</xdr:colOff>
      <xdr:row>0</xdr:row>
      <xdr:rowOff>87474</xdr:rowOff>
    </xdr:from>
    <xdr:to>
      <xdr:col>20</xdr:col>
      <xdr:colOff>505407</xdr:colOff>
      <xdr:row>11</xdr:row>
      <xdr:rowOff>114176</xdr:rowOff>
    </xdr:to>
    <xdr:sp macro="" textlink="">
      <xdr:nvSpPr>
        <xdr:cNvPr id="4" name="Rectangle 3"/>
        <xdr:cNvSpPr/>
      </xdr:nvSpPr>
      <xdr:spPr>
        <a:xfrm>
          <a:off x="9576470" y="87474"/>
          <a:ext cx="3175366" cy="2164967"/>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Stock Remaining</a:t>
          </a:r>
        </a:p>
      </xdr:txBody>
    </xdr:sp>
    <xdr:clientData/>
  </xdr:twoCellAnchor>
  <xdr:twoCellAnchor>
    <xdr:from>
      <xdr:col>1</xdr:col>
      <xdr:colOff>373942</xdr:colOff>
      <xdr:row>3</xdr:row>
      <xdr:rowOff>48597</xdr:rowOff>
    </xdr:from>
    <xdr:to>
      <xdr:col>4</xdr:col>
      <xdr:colOff>524847</xdr:colOff>
      <xdr:row>8</xdr:row>
      <xdr:rowOff>86696</xdr:rowOff>
    </xdr:to>
    <xdr:sp macro="" textlink="">
      <xdr:nvSpPr>
        <xdr:cNvPr id="6" name="Rectangle 5"/>
        <xdr:cNvSpPr/>
      </xdr:nvSpPr>
      <xdr:spPr>
        <a:xfrm>
          <a:off x="986263" y="631760"/>
          <a:ext cx="1987870"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Revenue</a:t>
          </a:r>
        </a:p>
        <a:p>
          <a:pPr algn="l"/>
          <a:endParaRPr lang="en-US" sz="2000" b="1"/>
        </a:p>
      </xdr:txBody>
    </xdr:sp>
    <xdr:clientData/>
  </xdr:twoCellAnchor>
  <xdr:twoCellAnchor>
    <xdr:from>
      <xdr:col>4</xdr:col>
      <xdr:colOff>560790</xdr:colOff>
      <xdr:row>3</xdr:row>
      <xdr:rowOff>47853</xdr:rowOff>
    </xdr:from>
    <xdr:to>
      <xdr:col>8</xdr:col>
      <xdr:colOff>291583</xdr:colOff>
      <xdr:row>8</xdr:row>
      <xdr:rowOff>85952</xdr:rowOff>
    </xdr:to>
    <xdr:sp macro="" textlink="">
      <xdr:nvSpPr>
        <xdr:cNvPr id="7" name="Rectangle 6"/>
        <xdr:cNvSpPr/>
      </xdr:nvSpPr>
      <xdr:spPr>
        <a:xfrm>
          <a:off x="3010076" y="631016"/>
          <a:ext cx="2180078"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a:t>
          </a:r>
          <a:r>
            <a:rPr lang="en-US" sz="2000" b="1" baseline="0"/>
            <a:t> Profit Earned</a:t>
          </a:r>
          <a:endParaRPr lang="en-US" sz="2000" b="1"/>
        </a:p>
      </xdr:txBody>
    </xdr:sp>
    <xdr:clientData/>
  </xdr:twoCellAnchor>
  <xdr:twoCellAnchor>
    <xdr:from>
      <xdr:col>8</xdr:col>
      <xdr:colOff>389450</xdr:colOff>
      <xdr:row>3</xdr:row>
      <xdr:rowOff>37016</xdr:rowOff>
    </xdr:from>
    <xdr:to>
      <xdr:col>11</xdr:col>
      <xdr:colOff>408214</xdr:colOff>
      <xdr:row>8</xdr:row>
      <xdr:rowOff>75115</xdr:rowOff>
    </xdr:to>
    <xdr:sp macro="" textlink="">
      <xdr:nvSpPr>
        <xdr:cNvPr id="8" name="Rectangle 7"/>
        <xdr:cNvSpPr/>
      </xdr:nvSpPr>
      <xdr:spPr>
        <a:xfrm>
          <a:off x="5288021" y="620179"/>
          <a:ext cx="1855729"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Units Sold</a:t>
          </a:r>
        </a:p>
      </xdr:txBody>
    </xdr:sp>
    <xdr:clientData/>
  </xdr:twoCellAnchor>
  <xdr:twoCellAnchor>
    <xdr:from>
      <xdr:col>11</xdr:col>
      <xdr:colOff>476251</xdr:colOff>
      <xdr:row>3</xdr:row>
      <xdr:rowOff>57150</xdr:rowOff>
    </xdr:from>
    <xdr:to>
      <xdr:col>15</xdr:col>
      <xdr:colOff>330460</xdr:colOff>
      <xdr:row>8</xdr:row>
      <xdr:rowOff>68035</xdr:rowOff>
    </xdr:to>
    <xdr:sp macro="" textlink="">
      <xdr:nvSpPr>
        <xdr:cNvPr id="9" name="Rectangle 8"/>
        <xdr:cNvSpPr/>
      </xdr:nvSpPr>
      <xdr:spPr>
        <a:xfrm>
          <a:off x="7211787" y="640313"/>
          <a:ext cx="2303494" cy="982824"/>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a:t>
          </a:r>
          <a:r>
            <a:rPr lang="en-US" sz="2000" b="1" baseline="0"/>
            <a:t> Inventory Cost</a:t>
          </a:r>
          <a:endParaRPr lang="en-US" sz="2000" b="1"/>
        </a:p>
      </xdr:txBody>
    </xdr:sp>
    <xdr:clientData/>
  </xdr:twoCellAnchor>
  <xdr:oneCellAnchor>
    <xdr:from>
      <xdr:col>5</xdr:col>
      <xdr:colOff>114300</xdr:colOff>
      <xdr:row>11</xdr:row>
      <xdr:rowOff>57150</xdr:rowOff>
    </xdr:from>
    <xdr:ext cx="184731" cy="264560"/>
    <xdr:sp macro="" textlink="">
      <xdr:nvSpPr>
        <xdr:cNvPr id="10" name="TextBox 9"/>
        <xdr:cNvSpPr txBox="1"/>
      </xdr:nvSpPr>
      <xdr:spPr>
        <a:xfrm>
          <a:off x="316230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159193</xdr:rowOff>
    </xdr:from>
    <xdr:to>
      <xdr:col>1</xdr:col>
      <xdr:colOff>291582</xdr:colOff>
      <xdr:row>6</xdr:row>
      <xdr:rowOff>116633</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59193"/>
          <a:ext cx="903903" cy="1123767"/>
        </a:xfrm>
        <a:prstGeom prst="rect">
          <a:avLst/>
        </a:prstGeom>
        <a:ln>
          <a:noFill/>
        </a:ln>
        <a:effectLst>
          <a:softEdge rad="112500"/>
        </a:effectLst>
      </xdr:spPr>
    </xdr:pic>
    <xdr:clientData/>
  </xdr:twoCellAnchor>
  <xdr:twoCellAnchor>
    <xdr:from>
      <xdr:col>1</xdr:col>
      <xdr:colOff>371179</xdr:colOff>
      <xdr:row>9</xdr:row>
      <xdr:rowOff>5410</xdr:rowOff>
    </xdr:from>
    <xdr:to>
      <xdr:col>5</xdr:col>
      <xdr:colOff>495004</xdr:colOff>
      <xdr:row>22</xdr:row>
      <xdr:rowOff>56924</xdr:rowOff>
    </xdr:to>
    <xdr:sp macro="" textlink="">
      <xdr:nvSpPr>
        <xdr:cNvPr id="16" name="Rectangle 15"/>
        <xdr:cNvSpPr/>
      </xdr:nvSpPr>
      <xdr:spPr>
        <a:xfrm>
          <a:off x="983500" y="1754900"/>
          <a:ext cx="2573111" cy="257855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Revenue</a:t>
          </a:r>
          <a:r>
            <a:rPr lang="en-US" sz="2000" b="1" baseline="0"/>
            <a:t> by Category</a:t>
          </a:r>
          <a:endParaRPr lang="en-US" sz="2000" b="1"/>
        </a:p>
      </xdr:txBody>
    </xdr:sp>
    <xdr:clientData/>
  </xdr:twoCellAnchor>
  <xdr:twoCellAnchor>
    <xdr:from>
      <xdr:col>5</xdr:col>
      <xdr:colOff>534565</xdr:colOff>
      <xdr:row>8</xdr:row>
      <xdr:rowOff>189580</xdr:rowOff>
    </xdr:from>
    <xdr:to>
      <xdr:col>10</xdr:col>
      <xdr:colOff>251066</xdr:colOff>
      <xdr:row>22</xdr:row>
      <xdr:rowOff>48597</xdr:rowOff>
    </xdr:to>
    <xdr:sp macro="" textlink="">
      <xdr:nvSpPr>
        <xdr:cNvPr id="17" name="Rectangle 16"/>
        <xdr:cNvSpPr/>
      </xdr:nvSpPr>
      <xdr:spPr>
        <a:xfrm>
          <a:off x="3596172" y="1744682"/>
          <a:ext cx="2778108" cy="258044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Profit</a:t>
          </a:r>
          <a:r>
            <a:rPr lang="en-US" sz="2000" b="1" baseline="0"/>
            <a:t> by Product</a:t>
          </a:r>
          <a:endParaRPr lang="en-US" sz="2000" b="1"/>
        </a:p>
      </xdr:txBody>
    </xdr:sp>
    <xdr:clientData/>
  </xdr:twoCellAnchor>
  <xdr:twoCellAnchor>
    <xdr:from>
      <xdr:col>15</xdr:col>
      <xdr:colOff>437372</xdr:colOff>
      <xdr:row>11</xdr:row>
      <xdr:rowOff>180781</xdr:rowOff>
    </xdr:from>
    <xdr:to>
      <xdr:col>20</xdr:col>
      <xdr:colOff>466530</xdr:colOff>
      <xdr:row>22</xdr:row>
      <xdr:rowOff>155510</xdr:rowOff>
    </xdr:to>
    <xdr:sp macro="" textlink="">
      <xdr:nvSpPr>
        <xdr:cNvPr id="18" name="Rectangle 17"/>
        <xdr:cNvSpPr/>
      </xdr:nvSpPr>
      <xdr:spPr>
        <a:xfrm>
          <a:off x="9622193" y="2319046"/>
          <a:ext cx="3090766" cy="211299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Expiring</a:t>
          </a:r>
          <a:r>
            <a:rPr lang="en-US" sz="2000" b="1" baseline="0"/>
            <a:t> Products</a:t>
          </a:r>
          <a:endParaRPr lang="en-US" sz="2000" b="1"/>
        </a:p>
      </xdr:txBody>
    </xdr:sp>
    <xdr:clientData/>
  </xdr:twoCellAnchor>
  <xdr:oneCellAnchor>
    <xdr:from>
      <xdr:col>2</xdr:col>
      <xdr:colOff>280735</xdr:colOff>
      <xdr:row>6</xdr:row>
      <xdr:rowOff>70184</xdr:rowOff>
    </xdr:from>
    <xdr:ext cx="782053" cy="609013"/>
    <xdr:sp macro="" textlink="">
      <xdr:nvSpPr>
        <xdr:cNvPr id="23" name="TextBox 22"/>
        <xdr:cNvSpPr txBox="1"/>
      </xdr:nvSpPr>
      <xdr:spPr>
        <a:xfrm>
          <a:off x="1505378" y="1236511"/>
          <a:ext cx="78205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p>
        <a:p>
          <a:endParaRPr lang="en-US" sz="1100"/>
        </a:p>
        <a:p>
          <a:endParaRPr lang="en-US" sz="1100"/>
        </a:p>
      </xdr:txBody>
    </xdr:sp>
    <xdr:clientData/>
  </xdr:oneCellAnchor>
  <xdr:twoCellAnchor>
    <xdr:from>
      <xdr:col>1</xdr:col>
      <xdr:colOff>390617</xdr:colOff>
      <xdr:row>11</xdr:row>
      <xdr:rowOff>10640</xdr:rowOff>
    </xdr:from>
    <xdr:to>
      <xdr:col>5</xdr:col>
      <xdr:colOff>458796</xdr:colOff>
      <xdr:row>22</xdr:row>
      <xdr:rowOff>126351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588351</xdr:colOff>
      <xdr:row>13</xdr:row>
      <xdr:rowOff>121238</xdr:rowOff>
    </xdr:from>
    <xdr:to>
      <xdr:col>20</xdr:col>
      <xdr:colOff>427652</xdr:colOff>
      <xdr:row>22</xdr:row>
      <xdr:rowOff>38877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440859</xdr:colOff>
      <xdr:row>2</xdr:row>
      <xdr:rowOff>159029</xdr:rowOff>
    </xdr:from>
    <xdr:to>
      <xdr:col>20</xdr:col>
      <xdr:colOff>534567</xdr:colOff>
      <xdr:row>11</xdr:row>
      <xdr:rowOff>48598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513388</xdr:colOff>
      <xdr:row>11</xdr:row>
      <xdr:rowOff>11559</xdr:rowOff>
    </xdr:from>
    <xdr:to>
      <xdr:col>10</xdr:col>
      <xdr:colOff>241962</xdr:colOff>
      <xdr:row>22</xdr:row>
      <xdr:rowOff>136070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0</xdr:row>
      <xdr:rowOff>0</xdr:rowOff>
    </xdr:from>
    <xdr:to>
      <xdr:col>26</xdr:col>
      <xdr:colOff>57150</xdr:colOff>
      <xdr:row>0</xdr:row>
      <xdr:rowOff>110289</xdr:rowOff>
    </xdr:to>
    <xdr:sp macro="" textlink="">
      <xdr:nvSpPr>
        <xdr:cNvPr id="3074" name="Text Box 2"/>
        <xdr:cNvSpPr txBox="1">
          <a:spLocks noChangeArrowheads="1"/>
        </xdr:cNvSpPr>
      </xdr:nvSpPr>
      <xdr:spPr bwMode="auto">
        <a:xfrm>
          <a:off x="15290132" y="0"/>
          <a:ext cx="668755" cy="11028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5</xdr:col>
      <xdr:colOff>97195</xdr:colOff>
      <xdr:row>4</xdr:row>
      <xdr:rowOff>194387</xdr:rowOff>
    </xdr:from>
    <xdr:to>
      <xdr:col>8</xdr:col>
      <xdr:colOff>194389</xdr:colOff>
      <xdr:row>8</xdr:row>
      <xdr:rowOff>68035</xdr:rowOff>
    </xdr:to>
    <xdr:sp macro="" textlink="">
      <xdr:nvSpPr>
        <xdr:cNvPr id="34" name="TextBox 33"/>
        <xdr:cNvSpPr txBox="1"/>
      </xdr:nvSpPr>
      <xdr:spPr>
        <a:xfrm>
          <a:off x="3158802" y="971938"/>
          <a:ext cx="1934158" cy="65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NGN      </a:t>
          </a:r>
          <a:r>
            <a:rPr lang="en-US" sz="3200" b="1" i="0" u="none" strike="noStrike">
              <a:solidFill>
                <a:schemeClr val="dk1"/>
              </a:solidFill>
              <a:effectLst/>
              <a:latin typeface="+mn-lt"/>
              <a:ea typeface="+mn-ea"/>
              <a:cs typeface="+mn-cs"/>
            </a:rPr>
            <a:t> 863K</a:t>
          </a:r>
          <a:r>
            <a:rPr lang="en-US" sz="3200" b="1"/>
            <a:t>  </a:t>
          </a:r>
          <a:r>
            <a:rPr lang="en-US" sz="3200" b="1" i="0" u="none" strike="noStrike">
              <a:solidFill>
                <a:schemeClr val="dk1"/>
              </a:solidFill>
              <a:effectLst/>
              <a:latin typeface="+mn-lt"/>
              <a:ea typeface="+mn-ea"/>
              <a:cs typeface="+mn-cs"/>
            </a:rPr>
            <a:t> </a:t>
          </a:r>
          <a:endParaRPr lang="en-US" sz="3200" b="1"/>
        </a:p>
      </xdr:txBody>
    </xdr:sp>
    <xdr:clientData/>
  </xdr:twoCellAnchor>
  <xdr:twoCellAnchor>
    <xdr:from>
      <xdr:col>1</xdr:col>
      <xdr:colOff>349898</xdr:colOff>
      <xdr:row>4</xdr:row>
      <xdr:rowOff>174948</xdr:rowOff>
    </xdr:from>
    <xdr:to>
      <xdr:col>4</xdr:col>
      <xdr:colOff>524846</xdr:colOff>
      <xdr:row>8</xdr:row>
      <xdr:rowOff>48596</xdr:rowOff>
    </xdr:to>
    <xdr:sp macro="" textlink="">
      <xdr:nvSpPr>
        <xdr:cNvPr id="35" name="TextBox 34"/>
        <xdr:cNvSpPr txBox="1"/>
      </xdr:nvSpPr>
      <xdr:spPr>
        <a:xfrm>
          <a:off x="962219" y="952499"/>
          <a:ext cx="2011913" cy="65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NGN                </a:t>
          </a:r>
          <a:r>
            <a:rPr lang="en-US" sz="3200" b="1" i="0" u="none" strike="noStrike">
              <a:solidFill>
                <a:schemeClr val="dk1"/>
              </a:solidFill>
              <a:effectLst/>
              <a:latin typeface="+mn-lt"/>
              <a:ea typeface="+mn-ea"/>
              <a:cs typeface="+mn-cs"/>
            </a:rPr>
            <a:t>2M</a:t>
          </a:r>
          <a:r>
            <a:rPr lang="en-US" sz="3200" b="1"/>
            <a:t> </a:t>
          </a:r>
          <a:r>
            <a:rPr lang="en-US" sz="2800" b="1"/>
            <a:t> </a:t>
          </a:r>
          <a:r>
            <a:rPr lang="en-US" sz="2400" b="1" i="0" u="none" strike="noStrike">
              <a:solidFill>
                <a:schemeClr val="dk1"/>
              </a:solidFill>
              <a:effectLst/>
              <a:latin typeface="+mn-lt"/>
              <a:ea typeface="+mn-ea"/>
              <a:cs typeface="+mn-cs"/>
            </a:rPr>
            <a:t> </a:t>
          </a:r>
          <a:endParaRPr lang="en-US" sz="2400" b="1"/>
        </a:p>
      </xdr:txBody>
    </xdr:sp>
    <xdr:clientData/>
  </xdr:twoCellAnchor>
  <xdr:twoCellAnchor>
    <xdr:from>
      <xdr:col>8</xdr:col>
      <xdr:colOff>466531</xdr:colOff>
      <xdr:row>4</xdr:row>
      <xdr:rowOff>184668</xdr:rowOff>
    </xdr:from>
    <xdr:to>
      <xdr:col>11</xdr:col>
      <xdr:colOff>301301</xdr:colOff>
      <xdr:row>8</xdr:row>
      <xdr:rowOff>0</xdr:rowOff>
    </xdr:to>
    <xdr:sp macro="" textlink="">
      <xdr:nvSpPr>
        <xdr:cNvPr id="36" name="TextBox 35"/>
        <xdr:cNvSpPr txBox="1"/>
      </xdr:nvSpPr>
      <xdr:spPr>
        <a:xfrm>
          <a:off x="5365102" y="962219"/>
          <a:ext cx="1671735" cy="592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chemeClr val="dk1"/>
              </a:solidFill>
              <a:effectLst/>
              <a:latin typeface="+mn-lt"/>
              <a:ea typeface="+mn-ea"/>
              <a:cs typeface="+mn-cs"/>
            </a:rPr>
            <a:t>2865</a:t>
          </a:r>
          <a:r>
            <a:rPr lang="en-US" sz="3200" b="1"/>
            <a:t> </a:t>
          </a:r>
        </a:p>
      </xdr:txBody>
    </xdr:sp>
    <xdr:clientData/>
  </xdr:twoCellAnchor>
  <xdr:twoCellAnchor editAs="oneCell">
    <xdr:from>
      <xdr:col>0</xdr:col>
      <xdr:colOff>9719</xdr:colOff>
      <xdr:row>6</xdr:row>
      <xdr:rowOff>126352</xdr:rowOff>
    </xdr:from>
    <xdr:to>
      <xdr:col>1</xdr:col>
      <xdr:colOff>349898</xdr:colOff>
      <xdr:row>22</xdr:row>
      <xdr:rowOff>97193</xdr:rowOff>
    </xdr:to>
    <mc:AlternateContent xmlns:mc="http://schemas.openxmlformats.org/markup-compatibility/2006">
      <mc:Choice xmlns:a14="http://schemas.microsoft.com/office/drawing/2010/main" Requires="a14">
        <xdr:graphicFrame macro="">
          <xdr:nvGraphicFramePr>
            <xdr:cNvPr id="3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19" y="1292679"/>
              <a:ext cx="952500" cy="3081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437373</xdr:colOff>
      <xdr:row>5</xdr:row>
      <xdr:rowOff>0</xdr:rowOff>
    </xdr:from>
    <xdr:to>
      <xdr:col>15</xdr:col>
      <xdr:colOff>223545</xdr:colOff>
      <xdr:row>8</xdr:row>
      <xdr:rowOff>29159</xdr:rowOff>
    </xdr:to>
    <xdr:sp macro="" textlink="">
      <xdr:nvSpPr>
        <xdr:cNvPr id="37" name="TextBox 36"/>
        <xdr:cNvSpPr txBox="1"/>
      </xdr:nvSpPr>
      <xdr:spPr>
        <a:xfrm>
          <a:off x="7785230" y="971939"/>
          <a:ext cx="1623136" cy="612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NGN              </a:t>
          </a:r>
          <a:r>
            <a:rPr lang="en-US" sz="3200" b="1" i="0" u="none" strike="noStrike">
              <a:solidFill>
                <a:schemeClr val="dk1"/>
              </a:solidFill>
              <a:effectLst/>
              <a:latin typeface="+mn-lt"/>
              <a:ea typeface="+mn-ea"/>
              <a:cs typeface="+mn-cs"/>
            </a:rPr>
            <a:t>31K</a:t>
          </a:r>
          <a:r>
            <a:rPr lang="en-US" sz="2800" b="1"/>
            <a:t> </a:t>
          </a:r>
        </a:p>
      </xdr:txBody>
    </xdr:sp>
    <xdr:clientData/>
  </xdr:twoCellAnchor>
  <xdr:twoCellAnchor>
    <xdr:from>
      <xdr:col>10</xdr:col>
      <xdr:colOff>320740</xdr:colOff>
      <xdr:row>8</xdr:row>
      <xdr:rowOff>174950</xdr:rowOff>
    </xdr:from>
    <xdr:to>
      <xdr:col>15</xdr:col>
      <xdr:colOff>340179</xdr:colOff>
      <xdr:row>22</xdr:row>
      <xdr:rowOff>58317</xdr:rowOff>
    </xdr:to>
    <xdr:sp macro="" textlink="">
      <xdr:nvSpPr>
        <xdr:cNvPr id="46" name="Rectangle 45"/>
        <xdr:cNvSpPr/>
      </xdr:nvSpPr>
      <xdr:spPr>
        <a:xfrm>
          <a:off x="6443954" y="1730052"/>
          <a:ext cx="3081046" cy="260479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Monthly</a:t>
          </a:r>
          <a:r>
            <a:rPr lang="en-US" sz="2000" b="1" baseline="0"/>
            <a:t> Profit Trend</a:t>
          </a:r>
          <a:endParaRPr lang="en-US" sz="2000" b="1"/>
        </a:p>
      </xdr:txBody>
    </xdr:sp>
    <xdr:clientData/>
  </xdr:twoCellAnchor>
  <xdr:twoCellAnchor>
    <xdr:from>
      <xdr:col>10</xdr:col>
      <xdr:colOff>311020</xdr:colOff>
      <xdr:row>11</xdr:row>
      <xdr:rowOff>38878</xdr:rowOff>
    </xdr:from>
    <xdr:to>
      <xdr:col>15</xdr:col>
      <xdr:colOff>281863</xdr:colOff>
      <xdr:row>22</xdr:row>
      <xdr:rowOff>126351</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56.19338449074" createdVersion="5" refreshedVersion="5" minRefreshableVersion="3" recordCount="50">
  <cacheSource type="worksheet">
    <worksheetSource name="Table3"/>
  </cacheSource>
  <cacheFields count="15">
    <cacheField name="Product" numFmtId="0">
      <sharedItems count="50">
        <s v="Paracetamol 500mg"/>
        <s v="Amoxicillin 500mg"/>
        <s v="Vitamin C"/>
        <s v="Ibuprofen 400mg"/>
        <s v="Cough Syrup"/>
        <s v="Antimalarial Tabs"/>
        <s v="Antiseptic Cream"/>
        <s v="ORS Sachet"/>
        <s v="Multivitamin"/>
        <s v="BP Tablets A"/>
        <s v="Antacid Tablets"/>
        <s v="Pain Relief Gel"/>
        <s v="Antifungal Cream"/>
        <s v="Insulin"/>
        <s v="Eye Drops"/>
        <s v="Zinc Tablets"/>
        <s v="Antibiotic Syrup"/>
        <s v="Vitamin B Complex"/>
        <s v="Anti-Malaria Syrup"/>
        <s v="Cough Lozenges"/>
        <s v="Paracetamol 1000mg"/>
        <s v="Antibiotic Capsules"/>
        <s v="Skin Ointment"/>
        <s v="BP Tablets B"/>
        <s v="ORS Powder"/>
        <s v="Multivitamin Syrup"/>
        <s v="Anti-Allergy Tablets"/>
        <s v="Malaria Injection"/>
        <s v="Pain Balm"/>
        <s v="Vitamin D Tablets"/>
        <s v="Eye Ointment"/>
        <s v="Cough Syrup Kids"/>
        <s v="Antibiotic Cream"/>
        <s v="Antifungal Tablets"/>
        <s v="Pain Relief Tablets"/>
        <s v="Blood Sugar Test Strips"/>
        <s v="ORS Liquid"/>
        <s v="Multivitamin Capsules"/>
        <s v="Antiseptic Liquid"/>
        <s v="Cough Medicine Strong"/>
        <s v="Antimalarial Injection"/>
        <s v="Pain Relief Spray"/>
        <s v="Vitamin C Chewable"/>
        <s v="Antibiotic Suspension"/>
        <s v="Skin Lotion"/>
        <s v="ORS Packets"/>
        <s v="BP Tablets C"/>
        <s v="Eye Drops Lubricant"/>
        <s v="Antifungal Spray"/>
        <s v="Pain Relief Capsules"/>
      </sharedItems>
    </cacheField>
    <cacheField name="Category" numFmtId="0">
      <sharedItems count="13">
        <s v="Pain Relief"/>
        <s v="Antibiotic"/>
        <s v="Supplement"/>
        <s v="Syrup"/>
        <s v="Malaria"/>
        <s v="First Aid"/>
        <s v="Rehydration"/>
        <s v="Chronic Care"/>
        <s v="Digestive"/>
        <s v="Skin Care"/>
        <s v="Diabetes"/>
        <s v="Eye Care"/>
        <s v="Allergy"/>
      </sharedItems>
    </cacheField>
    <cacheField name="Qty" numFmtId="0">
      <sharedItems containsSemiMixedTypes="0" containsString="0" containsNumber="1" containsInteger="1" minValue="20" maxValue="150"/>
    </cacheField>
    <cacheField name="Unit Cost (₦)*" numFmtId="0">
      <sharedItems containsSemiMixedTypes="0" containsString="0" containsNumber="1" containsInteger="1" minValue="100" maxValue="3500"/>
    </cacheField>
    <cacheField name="Selling Price (₦)" numFmtId="0">
      <sharedItems containsSemiMixedTypes="0" containsString="0" containsNumber="1" containsInteger="1" minValue="200" maxValue="5000"/>
    </cacheField>
    <cacheField name="Expiry Date" numFmtId="0">
      <sharedItems count="50">
        <s v="2026-06-20"/>
        <s v="2026-05-15"/>
        <s v="2026-12-10"/>
        <s v="2026-04-30"/>
        <s v="2026-03-25"/>
        <s v="2026-08-18"/>
        <s v="2027-01-10"/>
        <s v="2026-07-05"/>
        <s v="2026-11-22"/>
        <s v="2027-02-15"/>
        <s v="2026-09-10"/>
        <s v="2026-10-05"/>
        <s v="2026-08-30"/>
        <s v="2026-05-01"/>
        <s v="2026-12-01"/>
        <s v="2026-11-15"/>
        <s v="2026-06-10"/>
        <s v="2027-01-20"/>
        <s v="2026-04-25"/>
        <s v="2026-09-05"/>
        <s v="2026-06-15"/>
        <s v="2026-05-28"/>
        <s v="2026-10-20"/>
        <s v="2027-03-10"/>
        <s v="2026-07-18"/>
        <s v="2026-12-25"/>
        <s v="2026-09-30"/>
        <s v="2026-06-05"/>
        <s v="2026-08-15"/>
        <s v="2026-11-10"/>
        <s v="2026-12-18"/>
        <s v="2026-03-28"/>
        <s v="2026-05-12"/>
        <s v="2026-07-22"/>
        <s v="2026-06-30"/>
        <s v="2026-10-10"/>
        <s v="2026-07-08"/>
        <s v="2026-12-12"/>
        <s v="2027-01-05"/>
        <s v="2026-04-18"/>
        <s v="2026-05-25"/>
        <s v="2026-08-28"/>
        <s v="2026-11-30"/>
        <s v="2026-06-14"/>
        <s v="2026-09-20"/>
        <s v="2026-07-12"/>
        <s v="2027-02-28"/>
        <s v="2026-12-05"/>
        <s v="2026-08-10"/>
        <s v="2026-06-25"/>
      </sharedItems>
    </cacheField>
    <cacheField name="Units Sold (Monthly)" numFmtId="0">
      <sharedItems containsSemiMixedTypes="0" containsString="0" containsNumber="1" containsInteger="1" minValue="10" maxValue="130" count="21">
        <n v="80"/>
        <n v="50"/>
        <n v="40"/>
        <n v="65"/>
        <n v="30"/>
        <n v="90"/>
        <n v="35"/>
        <n v="120"/>
        <n v="55"/>
        <n v="25"/>
        <n v="60"/>
        <n v="45"/>
        <n v="20"/>
        <n v="70"/>
        <n v="85"/>
        <n v="110"/>
        <n v="15"/>
        <n v="95"/>
        <n v="100"/>
        <n v="10"/>
        <n v="130"/>
      </sharedItems>
    </cacheField>
    <cacheField name="Profit per Unit" numFmtId="0">
      <sharedItems containsSemiMixedTypes="0" containsString="0" containsNumber="1" containsInteger="1" minValue="100" maxValue="1500"/>
    </cacheField>
    <cacheField name="Revenue" numFmtId="0">
      <sharedItems containsSemiMixedTypes="0" containsString="0" containsNumber="1" containsInteger="1" minValue="22750" maxValue="108000" count="34">
        <n v="24000"/>
        <n v="40000"/>
        <n v="29250"/>
        <n v="30000"/>
        <n v="108000"/>
        <n v="22750"/>
        <n v="41250"/>
        <n v="37500"/>
        <n v="36000"/>
        <n v="70000"/>
        <n v="35000"/>
        <n v="31500"/>
        <n v="42000"/>
        <n v="39000"/>
        <n v="55000"/>
        <n v="27000"/>
        <n v="34000"/>
        <n v="42750"/>
        <n v="48000"/>
        <n v="27500"/>
        <n v="49500"/>
        <n v="67500"/>
        <n v="60000"/>
        <n v="47500"/>
        <n v="33250"/>
        <n v="56000"/>
        <n v="33000"/>
        <n v="54000"/>
        <n v="50000"/>
        <n v="26000"/>
        <n v="59500"/>
        <n v="44000"/>
        <n v="45000"/>
        <n v="42500"/>
      </sharedItems>
    </cacheField>
    <cacheField name="Monthly Profit" numFmtId="0">
      <sharedItems containsSemiMixedTypes="0" containsString="0" containsNumber="1" containsInteger="1" minValue="8000" maxValue="45000" count="24">
        <n v="8000"/>
        <n v="15000"/>
        <n v="12000"/>
        <n v="13000"/>
        <n v="45000"/>
        <n v="10500"/>
        <n v="19250"/>
        <n v="15750"/>
        <n v="16000"/>
        <n v="20000"/>
        <n v="14000"/>
        <n v="18000"/>
        <n v="13500"/>
        <n v="12750"/>
        <n v="14300"/>
        <n v="22000"/>
        <n v="22500"/>
        <n v="19500"/>
        <n v="28000"/>
        <n v="14250"/>
        <n v="17500"/>
        <n v="24500"/>
        <n v="21000"/>
        <n v="17000"/>
      </sharedItems>
    </cacheField>
    <cacheField name="Stock Value" numFmtId="0">
      <sharedItems containsSemiMixedTypes="0" containsString="0" containsNumber="1" containsInteger="1" minValue="15000" maxValue="75000"/>
    </cacheField>
    <cacheField name="Remaining Stock" numFmtId="0">
      <sharedItems containsSemiMixedTypes="0" containsString="0" containsNumber="1" containsInteger="1" minValue="5" maxValue="55"/>
    </cacheField>
    <cacheField name="Expiry Alert" numFmtId="0">
      <sharedItems count="2">
        <s v="EXPIRING SOON"/>
        <s v="OK"/>
      </sharedItems>
    </cacheField>
    <cacheField name="Total Revenue" numFmtId="0">
      <sharedItems containsSemiMixedTypes="0" containsString="0" containsNumber="1" containsInteger="1" minValue="200" maxValue="19480"/>
    </cacheField>
    <cacheField name="Total Profit2" numFmtId="0">
      <sharedItems containsSemiMixedTypes="0" containsString="0" containsNumber="1" containsInteger="1" minValue="8000" maxValue="45000" count="24">
        <n v="8000"/>
        <n v="15000"/>
        <n v="12000"/>
        <n v="13000"/>
        <n v="45000"/>
        <n v="10500"/>
        <n v="19250"/>
        <n v="15750"/>
        <n v="16000"/>
        <n v="20000"/>
        <n v="14000"/>
        <n v="18000"/>
        <n v="13500"/>
        <n v="12750"/>
        <n v="14300"/>
        <n v="22000"/>
        <n v="22500"/>
        <n v="19500"/>
        <n v="28000"/>
        <n v="14250"/>
        <n v="17500"/>
        <n v="24500"/>
        <n v="21000"/>
        <n v="170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157.283306944446" backgroundQuery="1" createdVersion="5" refreshedVersion="5" minRefreshableVersion="3" recordCount="0" supportSubquery="1" supportAdvancedDrill="1">
  <cacheSource type="external" connectionId="1"/>
  <cacheFields count="2">
    <cacheField name="[Table3].[Month].[Month]" caption="Month" numFmtId="0" hierarchy="14" level="1">
      <sharedItems count="12">
        <s v="Apr"/>
        <s v="Aug"/>
        <s v="Dec"/>
        <s v="Feb"/>
        <s v="Jan"/>
        <s v="Jul"/>
        <s v="Jun"/>
        <s v="Mar"/>
        <s v="May"/>
        <s v="Nov"/>
        <s v="Oct"/>
        <s v="Sep"/>
      </sharedItems>
    </cacheField>
    <cacheField name="[Measures].[Sum of Total Profit]" caption="Sum of Total Profit" numFmtId="0" hierarchy="15" level="32767"/>
  </cacheFields>
  <cacheHierarchies count="18">
    <cacheHierarchy uniqueName="[Table3].[Product]" caption="Product" attribute="1" defaultMemberUniqueName="[Table3].[Product].[All]" allUniqueName="[Table3].[Product].[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Qty]" caption="Qty" attribute="1" defaultMemberUniqueName="[Table3].[Qty].[All]" allUniqueName="[Table3].[Qty].[All]" dimensionUniqueName="[Table3]" displayFolder="" count="0" memberValueDatatype="20" unbalanced="0"/>
    <cacheHierarchy uniqueName="[Table3].[Unit Cost (₦)*]" caption="Unit Cost (₦)*" attribute="1" defaultMemberUniqueName="[Table3].[Unit Cost (₦)*].[All]" allUniqueName="[Table3].[Unit Cost (₦)*].[All]" dimensionUniqueName="[Table3]" displayFolder="" count="0" memberValueDatatype="20" unbalanced="0"/>
    <cacheHierarchy uniqueName="[Table3].[Selling Price (₦)]" caption="Selling Price (₦)" attribute="1" defaultMemberUniqueName="[Table3].[Selling Price (₦)].[All]" allUniqueName="[Table3].[Selling Price (₦)].[All]" dimensionUniqueName="[Table3]" displayFolder="" count="0" memberValueDatatype="20" unbalanced="0"/>
    <cacheHierarchy uniqueName="[Table3].[Expiry Date]" caption="Expiry Date" attribute="1" defaultMemberUniqueName="[Table3].[Expiry Date].[All]" allUniqueName="[Table3].[Expiry Date].[All]" dimensionUniqueName="[Table3]" displayFolder="" count="0" memberValueDatatype="130" unbalanced="0"/>
    <cacheHierarchy uniqueName="[Table3].[Units Sold (Monthly)]" caption="Units Sold (Monthly)" attribute="1" defaultMemberUniqueName="[Table3].[Units Sold (Monthly)].[All]" allUniqueName="[Table3].[Units Sold (Monthly)].[All]" dimensionUniqueName="[Table3]" displayFolder="" count="0" memberValueDatatype="20" unbalanced="0"/>
    <cacheHierarchy uniqueName="[Table3].[Profit per Unit]" caption="Profit per Unit" attribute="1" defaultMemberUniqueName="[Table3].[Profit per Unit].[All]" allUniqueName="[Table3].[Profit per Unit].[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Monthly Profit]" caption="Monthly Profit" attribute="1" time="1" defaultMemberUniqueName="[Table3].[Monthly Profit].[All]" allUniqueName="[Table3].[Monthly Profit].[All]" dimensionUniqueName="[Table3]" displayFolder="" count="0" memberValueDatatype="7" unbalanced="0"/>
    <cacheHierarchy uniqueName="[Table3].[Stock Value]" caption="Stock Value" attribute="1" defaultMemberUniqueName="[Table3].[Stock Value].[All]" allUniqueName="[Table3].[Stock Value].[All]" dimensionUniqueName="[Table3]" displayFolder="" count="0" memberValueDatatype="20" unbalanced="0"/>
    <cacheHierarchy uniqueName="[Table3].[Remaining Stock]" caption="Remaining Stock" attribute="1" defaultMemberUniqueName="[Table3].[Remaining Stock].[All]" allUniqueName="[Table3].[Remaining Stock].[All]" dimensionUniqueName="[Table3]" displayFolder="" count="0" memberValueDatatype="20" unbalanced="0"/>
    <cacheHierarchy uniqueName="[Table3].[Expiry Alert]" caption="Expiry Alert" attribute="1" defaultMemberUniqueName="[Table3].[Expiry Alert].[All]" allUniqueName="[Table3].[Expiry Alert].[All]" dimensionUniqueName="[Table3]" displayFolder="" count="0" memberValueDatatype="130" unbalanced="0"/>
    <cacheHierarchy uniqueName="[Table3].[Total Profit]" caption="Total Profit" attribute="1" defaultMemberUniqueName="[Table3].[Total Profit].[All]" allUniqueName="[Table3].[Total Profit].[All]" dimensionUniqueName="[Table3]" displayFolder="" count="0" memberValueDatatype="20" unbalanced="0"/>
    <cacheHierarchy uniqueName="[Table3].[Month]" caption="Month" attribute="1" defaultMemberUniqueName="[Table3].[Month].[All]" allUniqueName="[Table3].[Month].[All]" dimensionUniqueName="[Table3]" displayFolder="" count="2" memberValueDatatype="130" unbalanced="0">
      <fieldsUsage count="2">
        <fieldUsage x="-1"/>
        <fieldUsage x="0"/>
      </fieldsUsage>
    </cacheHierarchy>
    <cacheHierarchy uniqueName="[Measures].[Sum of Total Profit]" caption="Sum of Total Profit" measure="1" displayFolder="" measureGroup="Table3" count="0" oneField="1">
      <fieldsUsage count="1">
        <fieldUsage x="1"/>
      </fieldsUsage>
      <extLst>
        <ext xmlns:x15="http://schemas.microsoft.com/office/spreadsheetml/2010/11/main" uri="{B97F6D7D-B522-45F9-BDA1-12C45D357490}">
          <x15:cacheHierarchy aggregatedColumn="13"/>
        </ext>
      </extLst>
    </cacheHierarchy>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0">
  <r>
    <x v="0"/>
    <x v="0"/>
    <n v="120"/>
    <n v="200"/>
    <n v="300"/>
    <x v="0"/>
    <x v="0"/>
    <n v="100"/>
    <x v="0"/>
    <x v="0"/>
    <n v="24000"/>
    <n v="40"/>
    <x v="0"/>
    <n v="19480"/>
    <x v="0"/>
  </r>
  <r>
    <x v="1"/>
    <x v="1"/>
    <n v="60"/>
    <n v="500"/>
    <n v="800"/>
    <x v="1"/>
    <x v="1"/>
    <n v="300"/>
    <x v="1"/>
    <x v="1"/>
    <n v="30000"/>
    <n v="10"/>
    <x v="0"/>
    <n v="19380"/>
    <x v="1"/>
  </r>
  <r>
    <x v="2"/>
    <x v="2"/>
    <n v="90"/>
    <n v="300"/>
    <n v="600"/>
    <x v="2"/>
    <x v="2"/>
    <n v="300"/>
    <x v="0"/>
    <x v="2"/>
    <n v="27000"/>
    <n v="50"/>
    <x v="1"/>
    <n v="19080"/>
    <x v="2"/>
  </r>
  <r>
    <x v="3"/>
    <x v="0"/>
    <n v="70"/>
    <n v="250"/>
    <n v="450"/>
    <x v="3"/>
    <x v="3"/>
    <n v="200"/>
    <x v="2"/>
    <x v="3"/>
    <n v="17500"/>
    <n v="5"/>
    <x v="0"/>
    <n v="18780"/>
    <x v="3"/>
  </r>
  <r>
    <x v="4"/>
    <x v="3"/>
    <n v="50"/>
    <n v="600"/>
    <n v="1000"/>
    <x v="4"/>
    <x v="4"/>
    <n v="400"/>
    <x v="3"/>
    <x v="2"/>
    <n v="30000"/>
    <n v="20"/>
    <x v="0"/>
    <n v="18580"/>
    <x v="2"/>
  </r>
  <r>
    <x v="5"/>
    <x v="4"/>
    <n v="100"/>
    <n v="700"/>
    <n v="1200"/>
    <x v="5"/>
    <x v="5"/>
    <n v="500"/>
    <x v="4"/>
    <x v="4"/>
    <n v="70000"/>
    <n v="10"/>
    <x v="1"/>
    <n v="18180"/>
    <x v="4"/>
  </r>
  <r>
    <x v="6"/>
    <x v="5"/>
    <n v="80"/>
    <n v="350"/>
    <n v="650"/>
    <x v="6"/>
    <x v="6"/>
    <n v="300"/>
    <x v="5"/>
    <x v="5"/>
    <n v="28000"/>
    <n v="45"/>
    <x v="1"/>
    <n v="17680"/>
    <x v="5"/>
  </r>
  <r>
    <x v="7"/>
    <x v="6"/>
    <n v="150"/>
    <n v="100"/>
    <n v="200"/>
    <x v="7"/>
    <x v="7"/>
    <n v="100"/>
    <x v="0"/>
    <x v="2"/>
    <n v="15000"/>
    <n v="30"/>
    <x v="0"/>
    <n v="17380"/>
    <x v="2"/>
  </r>
  <r>
    <x v="8"/>
    <x v="2"/>
    <n v="110"/>
    <n v="400"/>
    <n v="750"/>
    <x v="8"/>
    <x v="8"/>
    <n v="350"/>
    <x v="6"/>
    <x v="6"/>
    <n v="44000"/>
    <n v="55"/>
    <x v="1"/>
    <n v="17280"/>
    <x v="6"/>
  </r>
  <r>
    <x v="9"/>
    <x v="7"/>
    <n v="40"/>
    <n v="900"/>
    <n v="1500"/>
    <x v="9"/>
    <x v="9"/>
    <n v="600"/>
    <x v="7"/>
    <x v="1"/>
    <n v="36000"/>
    <n v="15"/>
    <x v="1"/>
    <n v="16930"/>
    <x v="1"/>
  </r>
  <r>
    <x v="10"/>
    <x v="8"/>
    <n v="95"/>
    <n v="300"/>
    <n v="500"/>
    <x v="10"/>
    <x v="10"/>
    <n v="200"/>
    <x v="3"/>
    <x v="2"/>
    <n v="28500"/>
    <n v="35"/>
    <x v="1"/>
    <n v="16330"/>
    <x v="2"/>
  </r>
  <r>
    <x v="11"/>
    <x v="0"/>
    <n v="65"/>
    <n v="450"/>
    <n v="800"/>
    <x v="11"/>
    <x v="11"/>
    <n v="350"/>
    <x v="8"/>
    <x v="7"/>
    <n v="29250"/>
    <n v="20"/>
    <x v="1"/>
    <n v="16130"/>
    <x v="7"/>
  </r>
  <r>
    <x v="12"/>
    <x v="9"/>
    <n v="75"/>
    <n v="500"/>
    <n v="900"/>
    <x v="12"/>
    <x v="2"/>
    <n v="400"/>
    <x v="8"/>
    <x v="8"/>
    <n v="37500"/>
    <n v="35"/>
    <x v="1"/>
    <n v="15780"/>
    <x v="8"/>
  </r>
  <r>
    <x v="13"/>
    <x v="10"/>
    <n v="30"/>
    <n v="2500"/>
    <n v="3500"/>
    <x v="13"/>
    <x v="12"/>
    <n v="1000"/>
    <x v="9"/>
    <x v="9"/>
    <n v="75000"/>
    <n v="10"/>
    <x v="0"/>
    <n v="15380"/>
    <x v="9"/>
  </r>
  <r>
    <x v="14"/>
    <x v="11"/>
    <n v="85"/>
    <n v="400"/>
    <n v="700"/>
    <x v="14"/>
    <x v="1"/>
    <n v="300"/>
    <x v="10"/>
    <x v="1"/>
    <n v="34000"/>
    <n v="35"/>
    <x v="1"/>
    <n v="14380"/>
    <x v="1"/>
  </r>
  <r>
    <x v="15"/>
    <x v="2"/>
    <n v="100"/>
    <n v="250"/>
    <n v="450"/>
    <x v="15"/>
    <x v="13"/>
    <n v="200"/>
    <x v="11"/>
    <x v="10"/>
    <n v="25000"/>
    <n v="30"/>
    <x v="1"/>
    <n v="14080"/>
    <x v="10"/>
  </r>
  <r>
    <x v="16"/>
    <x v="1"/>
    <n v="55"/>
    <n v="800"/>
    <n v="1200"/>
    <x v="16"/>
    <x v="6"/>
    <n v="400"/>
    <x v="12"/>
    <x v="10"/>
    <n v="44000"/>
    <n v="20"/>
    <x v="0"/>
    <n v="13880"/>
    <x v="10"/>
  </r>
  <r>
    <x v="17"/>
    <x v="2"/>
    <n v="90"/>
    <n v="350"/>
    <n v="650"/>
    <x v="17"/>
    <x v="10"/>
    <n v="300"/>
    <x v="13"/>
    <x v="11"/>
    <n v="31500"/>
    <n v="30"/>
    <x v="1"/>
    <n v="13480"/>
    <x v="11"/>
  </r>
  <r>
    <x v="18"/>
    <x v="4"/>
    <n v="60"/>
    <n v="700"/>
    <n v="1100"/>
    <x v="18"/>
    <x v="1"/>
    <n v="400"/>
    <x v="14"/>
    <x v="9"/>
    <n v="42000"/>
    <n v="10"/>
    <x v="0"/>
    <n v="13180"/>
    <x v="9"/>
  </r>
  <r>
    <x v="19"/>
    <x v="3"/>
    <n v="120"/>
    <n v="150"/>
    <n v="300"/>
    <x v="19"/>
    <x v="5"/>
    <n v="150"/>
    <x v="15"/>
    <x v="12"/>
    <n v="18000"/>
    <n v="30"/>
    <x v="1"/>
    <n v="12780"/>
    <x v="12"/>
  </r>
  <r>
    <x v="20"/>
    <x v="0"/>
    <n v="100"/>
    <n v="250"/>
    <n v="400"/>
    <x v="20"/>
    <x v="14"/>
    <n v="150"/>
    <x v="16"/>
    <x v="13"/>
    <n v="25000"/>
    <n v="15"/>
    <x v="0"/>
    <n v="12630"/>
    <x v="13"/>
  </r>
  <r>
    <x v="21"/>
    <x v="1"/>
    <n v="65"/>
    <n v="600"/>
    <n v="950"/>
    <x v="21"/>
    <x v="11"/>
    <n v="350"/>
    <x v="17"/>
    <x v="7"/>
    <n v="39000"/>
    <n v="20"/>
    <x v="0"/>
    <n v="12480"/>
    <x v="7"/>
  </r>
  <r>
    <x v="22"/>
    <x v="9"/>
    <n v="70"/>
    <n v="500"/>
    <n v="850"/>
    <x v="22"/>
    <x v="2"/>
    <n v="350"/>
    <x v="16"/>
    <x v="10"/>
    <n v="35000"/>
    <n v="30"/>
    <x v="1"/>
    <n v="12130"/>
    <x v="10"/>
  </r>
  <r>
    <x v="23"/>
    <x v="7"/>
    <n v="45"/>
    <n v="1000"/>
    <n v="1600"/>
    <x v="23"/>
    <x v="4"/>
    <n v="600"/>
    <x v="18"/>
    <x v="11"/>
    <n v="45000"/>
    <n v="15"/>
    <x v="1"/>
    <n v="11780"/>
    <x v="11"/>
  </r>
  <r>
    <x v="24"/>
    <x v="6"/>
    <n v="140"/>
    <n v="120"/>
    <n v="250"/>
    <x v="24"/>
    <x v="15"/>
    <n v="130"/>
    <x v="19"/>
    <x v="14"/>
    <n v="16800"/>
    <n v="30"/>
    <x v="0"/>
    <n v="11180"/>
    <x v="14"/>
  </r>
  <r>
    <x v="25"/>
    <x v="2"/>
    <n v="80"/>
    <n v="500"/>
    <n v="900"/>
    <x v="25"/>
    <x v="8"/>
    <n v="400"/>
    <x v="20"/>
    <x v="15"/>
    <n v="40000"/>
    <n v="25"/>
    <x v="1"/>
    <n v="11050"/>
    <x v="15"/>
  </r>
  <r>
    <x v="26"/>
    <x v="12"/>
    <n v="75"/>
    <n v="450"/>
    <n v="750"/>
    <x v="26"/>
    <x v="1"/>
    <n v="300"/>
    <x v="7"/>
    <x v="1"/>
    <n v="33750"/>
    <n v="25"/>
    <x v="1"/>
    <n v="10650"/>
    <x v="1"/>
  </r>
  <r>
    <x v="27"/>
    <x v="4"/>
    <n v="25"/>
    <n v="3000"/>
    <n v="4500"/>
    <x v="27"/>
    <x v="16"/>
    <n v="1500"/>
    <x v="21"/>
    <x v="16"/>
    <n v="75000"/>
    <n v="10"/>
    <x v="0"/>
    <n v="10350"/>
    <x v="16"/>
  </r>
  <r>
    <x v="28"/>
    <x v="0"/>
    <n v="90"/>
    <n v="300"/>
    <n v="600"/>
    <x v="28"/>
    <x v="3"/>
    <n v="300"/>
    <x v="13"/>
    <x v="17"/>
    <n v="27000"/>
    <n v="25"/>
    <x v="1"/>
    <n v="8850"/>
    <x v="17"/>
  </r>
  <r>
    <x v="29"/>
    <x v="2"/>
    <n v="85"/>
    <n v="350"/>
    <n v="650"/>
    <x v="29"/>
    <x v="10"/>
    <n v="300"/>
    <x v="13"/>
    <x v="11"/>
    <n v="29750"/>
    <n v="25"/>
    <x v="1"/>
    <n v="8550"/>
    <x v="11"/>
  </r>
  <r>
    <x v="30"/>
    <x v="11"/>
    <n v="60"/>
    <n v="500"/>
    <n v="900"/>
    <x v="30"/>
    <x v="2"/>
    <n v="400"/>
    <x v="8"/>
    <x v="8"/>
    <n v="30000"/>
    <n v="20"/>
    <x v="1"/>
    <n v="8250"/>
    <x v="8"/>
  </r>
  <r>
    <x v="31"/>
    <x v="3"/>
    <n v="100"/>
    <n v="400"/>
    <n v="750"/>
    <x v="31"/>
    <x v="0"/>
    <n v="350"/>
    <x v="22"/>
    <x v="18"/>
    <n v="40000"/>
    <n v="20"/>
    <x v="0"/>
    <n v="7850"/>
    <x v="18"/>
  </r>
  <r>
    <x v="32"/>
    <x v="1"/>
    <n v="70"/>
    <n v="550"/>
    <n v="950"/>
    <x v="32"/>
    <x v="1"/>
    <n v="400"/>
    <x v="23"/>
    <x v="9"/>
    <n v="38500"/>
    <n v="20"/>
    <x v="0"/>
    <n v="7500"/>
    <x v="9"/>
  </r>
  <r>
    <x v="33"/>
    <x v="9"/>
    <n v="50"/>
    <n v="800"/>
    <n v="1300"/>
    <x v="33"/>
    <x v="4"/>
    <n v="500"/>
    <x v="13"/>
    <x v="1"/>
    <n v="40000"/>
    <n v="20"/>
    <x v="0"/>
    <n v="7100"/>
    <x v="1"/>
  </r>
  <r>
    <x v="34"/>
    <x v="0"/>
    <n v="110"/>
    <n v="200"/>
    <n v="350"/>
    <x v="34"/>
    <x v="17"/>
    <n v="150"/>
    <x v="24"/>
    <x v="19"/>
    <n v="22000"/>
    <n v="15"/>
    <x v="0"/>
    <n v="6600"/>
    <x v="19"/>
  </r>
  <r>
    <x v="35"/>
    <x v="10"/>
    <n v="40"/>
    <n v="1500"/>
    <n v="2200"/>
    <x v="35"/>
    <x v="9"/>
    <n v="700"/>
    <x v="14"/>
    <x v="20"/>
    <n v="60000"/>
    <n v="15"/>
    <x v="1"/>
    <n v="6450"/>
    <x v="20"/>
  </r>
  <r>
    <x v="36"/>
    <x v="6"/>
    <n v="130"/>
    <n v="150"/>
    <n v="300"/>
    <x v="36"/>
    <x v="18"/>
    <n v="150"/>
    <x v="3"/>
    <x v="1"/>
    <n v="19500"/>
    <n v="30"/>
    <x v="0"/>
    <n v="5750"/>
    <x v="1"/>
  </r>
  <r>
    <x v="37"/>
    <x v="2"/>
    <n v="95"/>
    <n v="450"/>
    <n v="800"/>
    <x v="37"/>
    <x v="13"/>
    <n v="350"/>
    <x v="25"/>
    <x v="21"/>
    <n v="42750"/>
    <n v="25"/>
    <x v="1"/>
    <n v="5600"/>
    <x v="21"/>
  </r>
  <r>
    <x v="38"/>
    <x v="5"/>
    <n v="85"/>
    <n v="300"/>
    <n v="550"/>
    <x v="38"/>
    <x v="10"/>
    <n v="250"/>
    <x v="26"/>
    <x v="1"/>
    <n v="25500"/>
    <n v="25"/>
    <x v="1"/>
    <n v="5250"/>
    <x v="1"/>
  </r>
  <r>
    <x v="39"/>
    <x v="3"/>
    <n v="60"/>
    <n v="700"/>
    <n v="1200"/>
    <x v="39"/>
    <x v="11"/>
    <n v="500"/>
    <x v="27"/>
    <x v="16"/>
    <n v="42000"/>
    <n v="15"/>
    <x v="0"/>
    <n v="5000"/>
    <x v="16"/>
  </r>
  <r>
    <x v="40"/>
    <x v="4"/>
    <n v="20"/>
    <n v="3500"/>
    <n v="5000"/>
    <x v="40"/>
    <x v="19"/>
    <n v="1500"/>
    <x v="28"/>
    <x v="1"/>
    <n v="70000"/>
    <n v="10"/>
    <x v="0"/>
    <n v="4500"/>
    <x v="1"/>
  </r>
  <r>
    <x v="41"/>
    <x v="0"/>
    <n v="75"/>
    <n v="500"/>
    <n v="900"/>
    <x v="41"/>
    <x v="8"/>
    <n v="400"/>
    <x v="20"/>
    <x v="15"/>
    <n v="37500"/>
    <n v="20"/>
    <x v="1"/>
    <n v="3000"/>
    <x v="15"/>
  </r>
  <r>
    <x v="42"/>
    <x v="2"/>
    <n v="100"/>
    <n v="250"/>
    <n v="500"/>
    <x v="42"/>
    <x v="0"/>
    <n v="250"/>
    <x v="1"/>
    <x v="9"/>
    <n v="25000"/>
    <n v="20"/>
    <x v="1"/>
    <n v="2600"/>
    <x v="9"/>
  </r>
  <r>
    <x v="43"/>
    <x v="1"/>
    <n v="65"/>
    <n v="600"/>
    <n v="1000"/>
    <x v="43"/>
    <x v="1"/>
    <n v="400"/>
    <x v="28"/>
    <x v="9"/>
    <n v="39000"/>
    <n v="15"/>
    <x v="0"/>
    <n v="2350"/>
    <x v="9"/>
  </r>
  <r>
    <x v="44"/>
    <x v="9"/>
    <n v="90"/>
    <n v="400"/>
    <n v="700"/>
    <x v="44"/>
    <x v="10"/>
    <n v="300"/>
    <x v="12"/>
    <x v="11"/>
    <n v="36000"/>
    <n v="30"/>
    <x v="1"/>
    <n v="1950"/>
    <x v="11"/>
  </r>
  <r>
    <x v="45"/>
    <x v="6"/>
    <n v="150"/>
    <n v="100"/>
    <n v="200"/>
    <x v="45"/>
    <x v="20"/>
    <n v="100"/>
    <x v="29"/>
    <x v="3"/>
    <n v="15000"/>
    <n v="20"/>
    <x v="0"/>
    <n v="1650"/>
    <x v="3"/>
  </r>
  <r>
    <x v="46"/>
    <x v="7"/>
    <n v="50"/>
    <n v="1100"/>
    <n v="1700"/>
    <x v="46"/>
    <x v="6"/>
    <n v="600"/>
    <x v="30"/>
    <x v="22"/>
    <n v="55000"/>
    <n v="15"/>
    <x v="1"/>
    <n v="1550"/>
    <x v="22"/>
  </r>
  <r>
    <x v="47"/>
    <x v="11"/>
    <n v="80"/>
    <n v="450"/>
    <n v="800"/>
    <x v="47"/>
    <x v="8"/>
    <n v="350"/>
    <x v="31"/>
    <x v="6"/>
    <n v="36000"/>
    <n v="25"/>
    <x v="1"/>
    <n v="950"/>
    <x v="6"/>
  </r>
  <r>
    <x v="48"/>
    <x v="9"/>
    <n v="70"/>
    <n v="600"/>
    <n v="1000"/>
    <x v="48"/>
    <x v="11"/>
    <n v="400"/>
    <x v="32"/>
    <x v="11"/>
    <n v="42000"/>
    <n v="25"/>
    <x v="0"/>
    <n v="600"/>
    <x v="11"/>
  </r>
  <r>
    <x v="49"/>
    <x v="0"/>
    <n v="100"/>
    <n v="300"/>
    <n v="500"/>
    <x v="49"/>
    <x v="14"/>
    <n v="200"/>
    <x v="33"/>
    <x v="23"/>
    <n v="30000"/>
    <n v="15"/>
    <x v="0"/>
    <n v="200"/>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35" applyNumberFormats="0" applyBorderFormats="0" applyFontFormats="0" applyPatternFormats="0" applyAlignmentFormats="0" applyWidthHeightFormats="1" dataCaption="Values" tag="35ece09e-f81e-4535-8164-0b08d2a2dca2" updatedVersion="5" minRefreshableVersion="3" useAutoFormatting="1" itemPrintTitles="1" createdVersion="5" indent="0" outline="1" outlineData="1" multipleFieldFilters="0" chartFormat="3">
  <location ref="G30:H43" firstHeaderRow="1" firstDataRow="1" firstDataCol="1"/>
  <pivotFields count="2">
    <pivotField axis="axisRow" allDrilled="1" showAll="0" sortType="ascending" defaultAttributeDrillState="1">
      <items count="13">
        <item x="4"/>
        <item x="3"/>
        <item x="7"/>
        <item x="0"/>
        <item x="8"/>
        <item x="6"/>
        <item x="5"/>
        <item x="1"/>
        <item x="11"/>
        <item x="10"/>
        <item x="9"/>
        <item x="2"/>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 Total Profi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_dataset.xlsx!Table3">
        <x15:activeTabTopLevelEntity name="[Table3]"/>
      </x15:pivotTableUISettings>
    </ext>
  </extLst>
</pivotTableDefinition>
</file>

<file path=xl/pivotTables/pivotTable2.xml><?xml version="1.0" encoding="utf-8"?>
<pivotTableDefinition xmlns="http://schemas.openxmlformats.org/spreadsheetml/2006/main" name="PivotTable11"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D20:E45" firstHeaderRow="1" firstDataRow="1" firstDataCol="1"/>
  <pivotFields count="15">
    <pivotField showAll="0"/>
    <pivotField showAll="0">
      <items count="14">
        <item x="12"/>
        <item x="1"/>
        <item x="7"/>
        <item x="10"/>
        <item x="8"/>
        <item x="11"/>
        <item x="5"/>
        <item x="4"/>
        <item x="0"/>
        <item x="6"/>
        <item x="9"/>
        <item x="2"/>
        <item x="3"/>
        <item t="default"/>
      </items>
    </pivotField>
    <pivotField showAll="0"/>
    <pivotField showAll="0"/>
    <pivotField showAll="0"/>
    <pivotField showAll="0">
      <items count="51">
        <item x="4"/>
        <item x="31"/>
        <item x="39"/>
        <item x="18"/>
        <item x="3"/>
        <item x="13"/>
        <item x="32"/>
        <item x="1"/>
        <item x="40"/>
        <item x="21"/>
        <item x="27"/>
        <item x="16"/>
        <item x="43"/>
        <item x="20"/>
        <item x="0"/>
        <item x="49"/>
        <item x="34"/>
        <item x="7"/>
        <item x="36"/>
        <item x="45"/>
        <item x="24"/>
        <item x="33"/>
        <item x="48"/>
        <item x="28"/>
        <item x="5"/>
        <item x="41"/>
        <item x="12"/>
        <item x="19"/>
        <item x="10"/>
        <item x="44"/>
        <item x="26"/>
        <item x="11"/>
        <item x="35"/>
        <item x="22"/>
        <item x="29"/>
        <item x="15"/>
        <item x="8"/>
        <item x="42"/>
        <item x="14"/>
        <item x="47"/>
        <item x="2"/>
        <item x="37"/>
        <item x="30"/>
        <item x="25"/>
        <item x="38"/>
        <item x="6"/>
        <item x="17"/>
        <item x="9"/>
        <item x="46"/>
        <item x="23"/>
        <item t="default"/>
      </items>
    </pivotField>
    <pivotField showAll="0">
      <items count="22">
        <item x="19"/>
        <item x="16"/>
        <item x="12"/>
        <item x="9"/>
        <item x="4"/>
        <item x="6"/>
        <item x="2"/>
        <item x="11"/>
        <item x="1"/>
        <item x="8"/>
        <item x="10"/>
        <item x="3"/>
        <item x="13"/>
        <item x="0"/>
        <item x="14"/>
        <item x="5"/>
        <item x="17"/>
        <item x="18"/>
        <item x="15"/>
        <item x="7"/>
        <item x="20"/>
        <item t="default"/>
      </items>
    </pivotField>
    <pivotField showAll="0"/>
    <pivotField showAll="0"/>
    <pivotField axis="axisRow" showAll="0">
      <items count="25">
        <item x="0"/>
        <item x="5"/>
        <item x="2"/>
        <item x="13"/>
        <item x="3"/>
        <item x="12"/>
        <item x="10"/>
        <item x="19"/>
        <item x="14"/>
        <item x="1"/>
        <item x="7"/>
        <item x="8"/>
        <item x="23"/>
        <item x="20"/>
        <item x="11"/>
        <item x="6"/>
        <item x="17"/>
        <item x="9"/>
        <item x="22"/>
        <item x="15"/>
        <item x="16"/>
        <item x="21"/>
        <item x="18"/>
        <item x="4"/>
        <item t="default"/>
      </items>
    </pivotField>
    <pivotField showAll="0"/>
    <pivotField showAll="0"/>
    <pivotField showAll="0">
      <items count="3">
        <item x="0"/>
        <item x="1"/>
        <item t="default"/>
      </items>
    </pivotField>
    <pivotField showAll="0"/>
    <pivotField dataField="1"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Profit" fld="14"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5:J16"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Sum of Unit Cost (₦)*" fld="3" baseField="0" baseItem="0" numFmtId="164"/>
  </dataFields>
  <formats count="3">
    <format dxfId="31">
      <pivotArea type="all" dataOnly="0" outline="0" fieldPosition="0"/>
    </format>
    <format dxfId="32">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1:J12"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Sum of Units Sold (Monthl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7:J8"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Items count="1">
    <i/>
  </rowItems>
  <colItems count="1">
    <i/>
  </colItems>
  <dataFields count="1">
    <dataField name="Sum of Total Profit2" fld="14" baseField="0" baseItem="0" numFmtId="164"/>
  </dataFields>
  <formats count="3">
    <format dxfId="28">
      <pivotArea type="all" dataOnly="0" outline="0" fieldPosition="0"/>
    </format>
    <format dxfId="29">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J4"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s>
  <rowItems count="1">
    <i/>
  </rowItems>
  <colItems count="1">
    <i/>
  </colItems>
  <dataFields count="1">
    <dataField name="Count of Total Revenue" fld="13" subtotal="count" baseField="0" baseItem="0" numFmtId="164"/>
  </dataFields>
  <formats count="4">
    <format dxfId="16">
      <pivotArea outline="0" collapsedLevelsAreSubtotals="1" fieldPosition="0"/>
    </format>
    <format dxfId="17">
      <pivotArea type="all" dataOnly="0" outline="0" fieldPosition="0"/>
    </format>
    <format dxfId="18">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7">
  <location ref="G10:H26" firstHeaderRow="1" firstDataRow="1" firstDataCol="1"/>
  <pivotFields count="15">
    <pivotField axis="axisRow" showAll="0" measureFilter="1">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6">
    <i>
      <x v="1"/>
    </i>
    <i>
      <x v="7"/>
    </i>
    <i>
      <x v="13"/>
    </i>
    <i>
      <x v="19"/>
    </i>
    <i>
      <x v="23"/>
    </i>
    <i>
      <x v="29"/>
    </i>
    <i>
      <x v="32"/>
    </i>
    <i>
      <x v="34"/>
    </i>
    <i>
      <x v="35"/>
    </i>
    <i>
      <x v="42"/>
    </i>
    <i>
      <x v="43"/>
    </i>
    <i>
      <x v="44"/>
    </i>
    <i>
      <x v="45"/>
    </i>
    <i>
      <x v="46"/>
    </i>
    <i>
      <x v="49"/>
    </i>
    <i t="grand">
      <x/>
    </i>
  </rowItems>
  <colItems count="1">
    <i/>
  </colItems>
  <dataFields count="1">
    <dataField name="Sum of Remaining Stock" fld="11"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G3:H6" firstHeaderRow="1" firstDataRow="1" firstDataCol="1"/>
  <pivotFields count="15">
    <pivotField dataField="1" showAll="0"/>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Product" fld="0"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8">
  <location ref="D3:E17" firstHeaderRow="1" firstDataRow="1" firstDataCol="1"/>
  <pivotFields count="15">
    <pivotField axis="axisRow" showAll="0" measureFilter="1">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Fields count="1">
    <field x="0"/>
  </rowFields>
  <rowItems count="14">
    <i>
      <x v="4"/>
    </i>
    <i>
      <x v="5"/>
    </i>
    <i>
      <x v="10"/>
    </i>
    <i>
      <x v="12"/>
    </i>
    <i>
      <x v="18"/>
    </i>
    <i>
      <x v="20"/>
    </i>
    <i>
      <x v="22"/>
    </i>
    <i>
      <x v="27"/>
    </i>
    <i>
      <x v="28"/>
    </i>
    <i>
      <x v="30"/>
    </i>
    <i>
      <x v="31"/>
    </i>
    <i>
      <x v="39"/>
    </i>
    <i>
      <x v="47"/>
    </i>
    <i t="grand">
      <x/>
    </i>
  </rowItems>
  <colItems count="1">
    <i/>
  </colItems>
  <dataFields count="1">
    <dataField name="Total Profit" fld="14" baseField="0" baseItem="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B17" firstHeaderRow="1" firstDataRow="1" firstDataCol="1"/>
  <pivotFields count="15">
    <pivotField showAll="0"/>
    <pivotField axis="axisRow"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 Revenue" fld="8" baseField="1"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10"/>
    <pivotTable tabId="2" name="PivotTable3"/>
    <pivotTable tabId="2" name="PivotTable4"/>
    <pivotTable tabId="2" name="PivotTable5"/>
    <pivotTable tabId="2" name="PivotTable6"/>
    <pivotTable tabId="2" name="PivotTable8"/>
    <pivotTable tabId="2" name="PivotTable9"/>
    <pivotTable tabId="2" name="PivotTable11"/>
  </pivotTables>
  <data>
    <tabular pivotCacheId="1">
      <items count="13">
        <i x="12" s="1"/>
        <i x="1" s="1"/>
        <i x="7" s="1"/>
        <i x="10" s="1"/>
        <i x="8" s="1"/>
        <i x="11" s="1"/>
        <i x="5" s="1"/>
        <i x="4" s="1"/>
        <i x="0" s="1"/>
        <i x="6" s="1"/>
        <i x="9"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tables/table1.xml><?xml version="1.0" encoding="utf-8"?>
<table xmlns="http://schemas.openxmlformats.org/spreadsheetml/2006/main" id="7" name="Table38" displayName="Table38" ref="A1:O51" totalsRowShown="0" dataDxfId="15">
  <autoFilter ref="A1:O51"/>
  <tableColumns count="15">
    <tableColumn id="1" name="Product" dataDxfId="14"/>
    <tableColumn id="2" name="Category" dataDxfId="13"/>
    <tableColumn id="3" name="Qty" dataDxfId="12"/>
    <tableColumn id="4" name="Unit Cost (₦)*" dataDxfId="11"/>
    <tableColumn id="5" name="Selling Price (₦)" dataDxfId="10"/>
    <tableColumn id="6" name="Expiry Date" dataDxfId="9"/>
    <tableColumn id="7" name="Units Sold (Monthly)" dataDxfId="8"/>
    <tableColumn id="9" name="Profit per Unit" dataDxfId="7">
      <calculatedColumnFormula>E2-D2</calculatedColumnFormula>
    </tableColumn>
    <tableColumn id="10" name="Revenue" dataDxfId="6">
      <calculatedColumnFormula>Table38[[#This Row],[Units Sold (Monthly)]]*Table38[[#This Row],[Selling Price (₦)]]</calculatedColumnFormula>
    </tableColumn>
    <tableColumn id="11" name="Monthly Profit" dataDxfId="5">
      <calculatedColumnFormula>Table38[[#This Row],[Units Sold (Monthly)]]*(Table38[[#This Row],[Selling Price (₦)]]-Table38[[#This Row],[Unit Cost (₦)*]])</calculatedColumnFormula>
    </tableColumn>
    <tableColumn id="12" name="Stock Value" dataDxfId="4">
      <calculatedColumnFormula>Table38[[#This Row],[Qty]]*Table38[[#This Row],[Unit Cost (₦)*]]</calculatedColumnFormula>
    </tableColumn>
    <tableColumn id="13" name="Remaining Stock" dataDxfId="3">
      <calculatedColumnFormula>C2-G2</calculatedColumnFormula>
    </tableColumn>
    <tableColumn id="14" name="Expiry Alert" dataDxfId="2">
      <calculatedColumnFormula>IF(F2-TODAY()&lt;=90,"EXPIRING SOON","OK")</calculatedColumnFormula>
    </tableColumn>
    <tableColumn id="17" name="Total Profit" dataDxfId="1">
      <calculatedColumnFormula>Table38[[#This Row],[Profit per Unit]]*Table38[[#This Row],[Units Sold (Monthly)]]</calculatedColumnFormula>
    </tableColumn>
    <tableColumn id="18" name="Month" dataDxfId="0">
      <calculatedColumnFormula>TEXT(J2,"MMM")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O51" totalsRowShown="0" dataDxfId="36">
  <autoFilter ref="A1:O51"/>
  <tableColumns count="15">
    <tableColumn id="1" name="Product" dataDxfId="49"/>
    <tableColumn id="2" name="Category" dataDxfId="48"/>
    <tableColumn id="3" name="Qty" dataDxfId="47"/>
    <tableColumn id="4" name="Unit Cost (₦)*" dataDxfId="46"/>
    <tableColumn id="5" name="Selling Price (₦)" dataDxfId="45"/>
    <tableColumn id="6" name="Expiry Date" dataDxfId="44"/>
    <tableColumn id="7" name="Units Sold (Monthly)" dataDxfId="43"/>
    <tableColumn id="9" name="Profit per Unit" dataDxfId="42">
      <calculatedColumnFormula>E2-D2</calculatedColumnFormula>
    </tableColumn>
    <tableColumn id="10" name="Revenue" dataDxfId="41">
      <calculatedColumnFormula>Table3[[#This Row],[Units Sold (Monthly)]]*Table3[[#This Row],[Selling Price (₦)]]</calculatedColumnFormula>
    </tableColumn>
    <tableColumn id="11" name="Monthly Profit" dataDxfId="35">
      <calculatedColumnFormula>Table3[[#This Row],[Units Sold (Monthly)]]*(Table3[[#This Row],[Selling Price (₦)]]-Table3[[#This Row],[Unit Cost (₦)*]])</calculatedColumnFormula>
    </tableColumn>
    <tableColumn id="12" name="Stock Value" dataDxfId="40">
      <calculatedColumnFormula>Table3[[#This Row],[Qty]]*Table3[[#This Row],[Unit Cost (₦)*]]</calculatedColumnFormula>
    </tableColumn>
    <tableColumn id="13" name="Remaining Stock" dataDxfId="39">
      <calculatedColumnFormula>C2-G2</calculatedColumnFormula>
    </tableColumn>
    <tableColumn id="14" name="Expiry Alert" dataDxfId="38">
      <calculatedColumnFormula>IF(F2-TODAY()&lt;=90,"EXPIRING SOON","OK")</calculatedColumnFormula>
    </tableColumn>
    <tableColumn id="17" name="Total Profit" dataDxfId="37">
      <calculatedColumnFormula>Table3[[#This Row],[Profit per Unit]]*Table3[[#This Row],[Units Sold (Monthly)]]</calculatedColumnFormula>
    </tableColumn>
    <tableColumn id="18" name="Month" dataDxfId="34">
      <calculatedColumnFormula>TEXT(J2,"MMM")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abSelected="1" topLeftCell="C1" zoomScale="96" zoomScaleNormal="96" workbookViewId="0">
      <selection activeCell="O2" sqref="O2"/>
    </sheetView>
  </sheetViews>
  <sheetFormatPr defaultRowHeight="15" x14ac:dyDescent="0.25"/>
  <cols>
    <col min="1" max="1" width="18.7109375" customWidth="1"/>
    <col min="2" max="2" width="12.85546875" customWidth="1"/>
    <col min="4" max="4" width="14.5703125" customWidth="1"/>
    <col min="5" max="5" width="17.28515625" customWidth="1"/>
    <col min="6" max="6" width="16" customWidth="1"/>
    <col min="7" max="7" width="21.5703125" customWidth="1"/>
    <col min="8" max="8" width="14.5703125" customWidth="1"/>
    <col min="9" max="9" width="15.5703125" customWidth="1"/>
    <col min="10" max="10" width="18" style="9" customWidth="1"/>
    <col min="11" max="11" width="15.28515625" customWidth="1"/>
    <col min="12" max="12" width="21.5703125" customWidth="1"/>
    <col min="13" max="13" width="18" customWidth="1"/>
    <col min="14" max="14" width="16.42578125" customWidth="1"/>
  </cols>
  <sheetData>
    <row r="1" spans="1:15" x14ac:dyDescent="0.25">
      <c r="A1" t="s">
        <v>0</v>
      </c>
      <c r="B1" t="s">
        <v>1</v>
      </c>
      <c r="C1" t="s">
        <v>2</v>
      </c>
      <c r="D1" t="s">
        <v>119</v>
      </c>
      <c r="E1" t="s">
        <v>3</v>
      </c>
      <c r="F1" t="s">
        <v>4</v>
      </c>
      <c r="G1" t="s">
        <v>5</v>
      </c>
      <c r="H1" t="s">
        <v>134</v>
      </c>
      <c r="I1" t="s">
        <v>120</v>
      </c>
      <c r="J1" s="9" t="s">
        <v>121</v>
      </c>
      <c r="K1" t="s">
        <v>122</v>
      </c>
      <c r="L1" t="s">
        <v>123</v>
      </c>
      <c r="M1" t="s">
        <v>124</v>
      </c>
      <c r="N1" t="s">
        <v>125</v>
      </c>
      <c r="O1" t="s">
        <v>136</v>
      </c>
    </row>
    <row r="2" spans="1:15" x14ac:dyDescent="0.25">
      <c r="A2" s="6" t="s">
        <v>6</v>
      </c>
      <c r="B2" s="6" t="s">
        <v>7</v>
      </c>
      <c r="C2" s="6">
        <v>120</v>
      </c>
      <c r="D2" s="6">
        <v>200</v>
      </c>
      <c r="E2" s="6">
        <v>300</v>
      </c>
      <c r="F2" s="6" t="s">
        <v>8</v>
      </c>
      <c r="G2" s="6">
        <v>80</v>
      </c>
      <c r="H2" s="6">
        <f t="shared" ref="H2:H51" si="0">E2-D2</f>
        <v>100</v>
      </c>
      <c r="I2" s="6">
        <f>Table38[[#This Row],[Units Sold (Monthly)]]*Table38[[#This Row],[Selling Price (₦)]]</f>
        <v>24000</v>
      </c>
      <c r="J2" s="10">
        <f>Table38[[#This Row],[Units Sold (Monthly)]]*(Table38[[#This Row],[Selling Price (₦)]]-Table38[[#This Row],[Unit Cost (₦)*]])</f>
        <v>8000</v>
      </c>
      <c r="K2" s="7">
        <f>Table38[[#This Row],[Qty]]*Table38[[#This Row],[Unit Cost (₦)*]]</f>
        <v>24000</v>
      </c>
      <c r="L2" s="7">
        <f t="shared" ref="L2:L51" si="1">C2-G2</f>
        <v>40</v>
      </c>
      <c r="M2" s="7" t="str">
        <f t="shared" ref="M2:M51" ca="1" si="2">IF(F2-TODAY()&lt;=90,"EXPIRING SOON","OK")</f>
        <v>EXPIRING SOON</v>
      </c>
      <c r="N2" s="7">
        <f>Table38[[#This Row],[Profit per Unit]]*Table38[[#This Row],[Units Sold (Monthly)]]</f>
        <v>8000</v>
      </c>
      <c r="O2" s="7" t="str">
        <f t="shared" ref="O2:O51" si="3">TEXT(J2,"MMM")</f>
        <v>Nov</v>
      </c>
    </row>
    <row r="3" spans="1:15" x14ac:dyDescent="0.25">
      <c r="A3" s="6" t="s">
        <v>9</v>
      </c>
      <c r="B3" s="6" t="s">
        <v>10</v>
      </c>
      <c r="C3" s="6">
        <v>60</v>
      </c>
      <c r="D3" s="6">
        <v>500</v>
      </c>
      <c r="E3" s="6">
        <v>800</v>
      </c>
      <c r="F3" s="6" t="s">
        <v>11</v>
      </c>
      <c r="G3" s="6">
        <v>50</v>
      </c>
      <c r="H3" s="6">
        <f t="shared" si="0"/>
        <v>300</v>
      </c>
      <c r="I3" s="6">
        <f>Table38[[#This Row],[Units Sold (Monthly)]]*Table38[[#This Row],[Selling Price (₦)]]</f>
        <v>40000</v>
      </c>
      <c r="J3" s="10">
        <f>Table38[[#This Row],[Units Sold (Monthly)]]*(Table38[[#This Row],[Selling Price (₦)]]-Table38[[#This Row],[Unit Cost (₦)*]])</f>
        <v>15000</v>
      </c>
      <c r="K3" s="7">
        <f>Table38[[#This Row],[Qty]]*Table38[[#This Row],[Unit Cost (₦)*]]</f>
        <v>30000</v>
      </c>
      <c r="L3" s="7">
        <f t="shared" si="1"/>
        <v>10</v>
      </c>
      <c r="M3" s="7" t="str">
        <f t="shared" ca="1" si="2"/>
        <v>EXPIRING SOON</v>
      </c>
      <c r="N3" s="7">
        <f>Table38[[#This Row],[Profit per Unit]]*Table38[[#This Row],[Units Sold (Monthly)]]</f>
        <v>15000</v>
      </c>
      <c r="O3" s="7" t="str">
        <f t="shared" si="3"/>
        <v>Jan</v>
      </c>
    </row>
    <row r="4" spans="1:15" x14ac:dyDescent="0.25">
      <c r="A4" s="6" t="s">
        <v>12</v>
      </c>
      <c r="B4" s="6" t="s">
        <v>13</v>
      </c>
      <c r="C4" s="6">
        <v>90</v>
      </c>
      <c r="D4" s="6">
        <v>300</v>
      </c>
      <c r="E4" s="6">
        <v>600</v>
      </c>
      <c r="F4" s="6" t="s">
        <v>14</v>
      </c>
      <c r="G4" s="6">
        <v>40</v>
      </c>
      <c r="H4" s="6">
        <f t="shared" si="0"/>
        <v>300</v>
      </c>
      <c r="I4" s="6">
        <f>Table38[[#This Row],[Units Sold (Monthly)]]*Table38[[#This Row],[Selling Price (₦)]]</f>
        <v>24000</v>
      </c>
      <c r="J4" s="10">
        <f>Table38[[#This Row],[Units Sold (Monthly)]]*(Table38[[#This Row],[Selling Price (₦)]]-Table38[[#This Row],[Unit Cost (₦)*]])</f>
        <v>12000</v>
      </c>
      <c r="K4" s="7">
        <f>Table38[[#This Row],[Qty]]*Table38[[#This Row],[Unit Cost (₦)*]]</f>
        <v>27000</v>
      </c>
      <c r="L4" s="7">
        <f t="shared" si="1"/>
        <v>50</v>
      </c>
      <c r="M4" s="7" t="str">
        <f t="shared" ca="1" si="2"/>
        <v>OK</v>
      </c>
      <c r="N4" s="7">
        <f>Table38[[#This Row],[Profit per Unit]]*Table38[[#This Row],[Units Sold (Monthly)]]</f>
        <v>12000</v>
      </c>
      <c r="O4" s="7" t="str">
        <f t="shared" si="3"/>
        <v>Nov</v>
      </c>
    </row>
    <row r="5" spans="1:15" x14ac:dyDescent="0.25">
      <c r="A5" s="6" t="s">
        <v>15</v>
      </c>
      <c r="B5" s="6" t="s">
        <v>7</v>
      </c>
      <c r="C5" s="6">
        <v>70</v>
      </c>
      <c r="D5" s="6">
        <v>250</v>
      </c>
      <c r="E5" s="6">
        <v>450</v>
      </c>
      <c r="F5" s="6" t="s">
        <v>16</v>
      </c>
      <c r="G5" s="6">
        <v>65</v>
      </c>
      <c r="H5" s="6">
        <f t="shared" si="0"/>
        <v>200</v>
      </c>
      <c r="I5" s="6">
        <f>Table38[[#This Row],[Units Sold (Monthly)]]*Table38[[#This Row],[Selling Price (₦)]]</f>
        <v>29250</v>
      </c>
      <c r="J5" s="10">
        <f>Table38[[#This Row],[Units Sold (Monthly)]]*(Table38[[#This Row],[Selling Price (₦)]]-Table38[[#This Row],[Unit Cost (₦)*]])</f>
        <v>13000</v>
      </c>
      <c r="K5" s="7">
        <f>Table38[[#This Row],[Qty]]*Table38[[#This Row],[Unit Cost (₦)*]]</f>
        <v>17500</v>
      </c>
      <c r="L5" s="7">
        <f t="shared" si="1"/>
        <v>5</v>
      </c>
      <c r="M5" s="7" t="str">
        <f t="shared" ca="1" si="2"/>
        <v>EXPIRING SOON</v>
      </c>
      <c r="N5" s="7">
        <f>Table38[[#This Row],[Profit per Unit]]*Table38[[#This Row],[Units Sold (Monthly)]]</f>
        <v>13000</v>
      </c>
      <c r="O5" s="7" t="str">
        <f t="shared" si="3"/>
        <v>Aug</v>
      </c>
    </row>
    <row r="6" spans="1:15" x14ac:dyDescent="0.25">
      <c r="A6" s="6" t="s">
        <v>17</v>
      </c>
      <c r="B6" s="6" t="s">
        <v>18</v>
      </c>
      <c r="C6" s="6">
        <v>50</v>
      </c>
      <c r="D6" s="6">
        <v>600</v>
      </c>
      <c r="E6" s="6">
        <v>1000</v>
      </c>
      <c r="F6" s="6" t="s">
        <v>19</v>
      </c>
      <c r="G6" s="6">
        <v>30</v>
      </c>
      <c r="H6" s="6">
        <f t="shared" si="0"/>
        <v>400</v>
      </c>
      <c r="I6" s="6">
        <f>Table38[[#This Row],[Units Sold (Monthly)]]*Table38[[#This Row],[Selling Price (₦)]]</f>
        <v>30000</v>
      </c>
      <c r="J6" s="10">
        <f>Table38[[#This Row],[Units Sold (Monthly)]]*(Table38[[#This Row],[Selling Price (₦)]]-Table38[[#This Row],[Unit Cost (₦)*]])</f>
        <v>12000</v>
      </c>
      <c r="K6" s="7">
        <f>Table38[[#This Row],[Qty]]*Table38[[#This Row],[Unit Cost (₦)*]]</f>
        <v>30000</v>
      </c>
      <c r="L6" s="7">
        <f t="shared" si="1"/>
        <v>20</v>
      </c>
      <c r="M6" s="7" t="str">
        <f t="shared" ca="1" si="2"/>
        <v>EXPIRING SOON</v>
      </c>
      <c r="N6" s="7">
        <f>Table38[[#This Row],[Profit per Unit]]*Table38[[#This Row],[Units Sold (Monthly)]]</f>
        <v>12000</v>
      </c>
      <c r="O6" s="7" t="str">
        <f t="shared" si="3"/>
        <v>Nov</v>
      </c>
    </row>
    <row r="7" spans="1:15" x14ac:dyDescent="0.25">
      <c r="A7" s="6" t="s">
        <v>20</v>
      </c>
      <c r="B7" s="6" t="s">
        <v>21</v>
      </c>
      <c r="C7" s="6">
        <v>100</v>
      </c>
      <c r="D7" s="6">
        <v>700</v>
      </c>
      <c r="E7" s="6">
        <v>1200</v>
      </c>
      <c r="F7" s="6" t="s">
        <v>22</v>
      </c>
      <c r="G7" s="6">
        <v>90</v>
      </c>
      <c r="H7" s="6">
        <f t="shared" si="0"/>
        <v>500</v>
      </c>
      <c r="I7" s="6">
        <f>Table38[[#This Row],[Units Sold (Monthly)]]*Table38[[#This Row],[Selling Price (₦)]]</f>
        <v>108000</v>
      </c>
      <c r="J7" s="10">
        <f>Table38[[#This Row],[Units Sold (Monthly)]]*(Table38[[#This Row],[Selling Price (₦)]]-Table38[[#This Row],[Unit Cost (₦)*]])</f>
        <v>45000</v>
      </c>
      <c r="K7" s="7">
        <f>Table38[[#This Row],[Qty]]*Table38[[#This Row],[Unit Cost (₦)*]]</f>
        <v>70000</v>
      </c>
      <c r="L7" s="7">
        <f t="shared" si="1"/>
        <v>10</v>
      </c>
      <c r="M7" s="7" t="str">
        <f t="shared" ca="1" si="2"/>
        <v>OK</v>
      </c>
      <c r="N7" s="7">
        <f>Table38[[#This Row],[Profit per Unit]]*Table38[[#This Row],[Units Sold (Monthly)]]</f>
        <v>45000</v>
      </c>
      <c r="O7" s="7" t="str">
        <f t="shared" si="3"/>
        <v>Mar</v>
      </c>
    </row>
    <row r="8" spans="1:15" x14ac:dyDescent="0.25">
      <c r="A8" s="6" t="s">
        <v>23</v>
      </c>
      <c r="B8" s="6" t="s">
        <v>24</v>
      </c>
      <c r="C8" s="6">
        <v>80</v>
      </c>
      <c r="D8" s="6">
        <v>350</v>
      </c>
      <c r="E8" s="6">
        <v>650</v>
      </c>
      <c r="F8" s="6" t="s">
        <v>25</v>
      </c>
      <c r="G8" s="6">
        <v>35</v>
      </c>
      <c r="H8" s="6">
        <f t="shared" si="0"/>
        <v>300</v>
      </c>
      <c r="I8" s="6">
        <f>Table38[[#This Row],[Units Sold (Monthly)]]*Table38[[#This Row],[Selling Price (₦)]]</f>
        <v>22750</v>
      </c>
      <c r="J8" s="10">
        <f>Table38[[#This Row],[Units Sold (Monthly)]]*(Table38[[#This Row],[Selling Price (₦)]]-Table38[[#This Row],[Unit Cost (₦)*]])</f>
        <v>10500</v>
      </c>
      <c r="K8" s="7">
        <f>Table38[[#This Row],[Qty]]*Table38[[#This Row],[Unit Cost (₦)*]]</f>
        <v>28000</v>
      </c>
      <c r="L8" s="7">
        <f t="shared" si="1"/>
        <v>45</v>
      </c>
      <c r="M8" s="7" t="str">
        <f t="shared" ca="1" si="2"/>
        <v>OK</v>
      </c>
      <c r="N8" s="7">
        <f>Table38[[#This Row],[Profit per Unit]]*Table38[[#This Row],[Units Sold (Monthly)]]</f>
        <v>10500</v>
      </c>
      <c r="O8" s="7" t="str">
        <f t="shared" si="3"/>
        <v>Sep</v>
      </c>
    </row>
    <row r="9" spans="1:15" x14ac:dyDescent="0.25">
      <c r="A9" s="6" t="s">
        <v>26</v>
      </c>
      <c r="B9" s="6" t="s">
        <v>27</v>
      </c>
      <c r="C9" s="6">
        <v>150</v>
      </c>
      <c r="D9" s="6">
        <v>100</v>
      </c>
      <c r="E9" s="6">
        <v>200</v>
      </c>
      <c r="F9" s="6" t="s">
        <v>28</v>
      </c>
      <c r="G9" s="6">
        <v>120</v>
      </c>
      <c r="H9" s="6">
        <f t="shared" si="0"/>
        <v>100</v>
      </c>
      <c r="I9" s="6">
        <f>Table38[[#This Row],[Units Sold (Monthly)]]*Table38[[#This Row],[Selling Price (₦)]]</f>
        <v>24000</v>
      </c>
      <c r="J9" s="10">
        <f>Table38[[#This Row],[Units Sold (Monthly)]]*(Table38[[#This Row],[Selling Price (₦)]]-Table38[[#This Row],[Unit Cost (₦)*]])</f>
        <v>12000</v>
      </c>
      <c r="K9" s="7">
        <f>Table38[[#This Row],[Qty]]*Table38[[#This Row],[Unit Cost (₦)*]]</f>
        <v>15000</v>
      </c>
      <c r="L9" s="7">
        <f t="shared" si="1"/>
        <v>30</v>
      </c>
      <c r="M9" s="7" t="str">
        <f t="shared" ca="1" si="2"/>
        <v>EXPIRING SOON</v>
      </c>
      <c r="N9" s="7">
        <f>Table38[[#This Row],[Profit per Unit]]*Table38[[#This Row],[Units Sold (Monthly)]]</f>
        <v>12000</v>
      </c>
      <c r="O9" s="7" t="str">
        <f t="shared" si="3"/>
        <v>Nov</v>
      </c>
    </row>
    <row r="10" spans="1:15" x14ac:dyDescent="0.25">
      <c r="A10" s="6" t="s">
        <v>29</v>
      </c>
      <c r="B10" s="6" t="s">
        <v>13</v>
      </c>
      <c r="C10" s="6">
        <v>110</v>
      </c>
      <c r="D10" s="6">
        <v>400</v>
      </c>
      <c r="E10" s="6">
        <v>750</v>
      </c>
      <c r="F10" s="6" t="s">
        <v>30</v>
      </c>
      <c r="G10" s="6">
        <v>55</v>
      </c>
      <c r="H10" s="6">
        <f t="shared" si="0"/>
        <v>350</v>
      </c>
      <c r="I10" s="6">
        <f>Table38[[#This Row],[Units Sold (Monthly)]]*Table38[[#This Row],[Selling Price (₦)]]</f>
        <v>41250</v>
      </c>
      <c r="J10" s="10">
        <f>Table38[[#This Row],[Units Sold (Monthly)]]*(Table38[[#This Row],[Selling Price (₦)]]-Table38[[#This Row],[Unit Cost (₦)*]])</f>
        <v>19250</v>
      </c>
      <c r="K10" s="7">
        <f>Table38[[#This Row],[Qty]]*Table38[[#This Row],[Unit Cost (₦)*]]</f>
        <v>44000</v>
      </c>
      <c r="L10" s="7">
        <f t="shared" si="1"/>
        <v>55</v>
      </c>
      <c r="M10" s="7" t="str">
        <f t="shared" ca="1" si="2"/>
        <v>OK</v>
      </c>
      <c r="N10" s="7">
        <f>Table38[[#This Row],[Profit per Unit]]*Table38[[#This Row],[Units Sold (Monthly)]]</f>
        <v>19250</v>
      </c>
      <c r="O10" s="7" t="str">
        <f t="shared" si="3"/>
        <v>Sep</v>
      </c>
    </row>
    <row r="11" spans="1:15" x14ac:dyDescent="0.25">
      <c r="A11" s="6" t="s">
        <v>31</v>
      </c>
      <c r="B11" s="6" t="s">
        <v>32</v>
      </c>
      <c r="C11" s="6">
        <v>40</v>
      </c>
      <c r="D11" s="6">
        <v>900</v>
      </c>
      <c r="E11" s="6">
        <v>1500</v>
      </c>
      <c r="F11" s="6" t="s">
        <v>33</v>
      </c>
      <c r="G11" s="6">
        <v>25</v>
      </c>
      <c r="H11" s="6">
        <f t="shared" si="0"/>
        <v>600</v>
      </c>
      <c r="I11" s="6">
        <f>Table38[[#This Row],[Units Sold (Monthly)]]*Table38[[#This Row],[Selling Price (₦)]]</f>
        <v>37500</v>
      </c>
      <c r="J11" s="10">
        <f>Table38[[#This Row],[Units Sold (Monthly)]]*(Table38[[#This Row],[Selling Price (₦)]]-Table38[[#This Row],[Unit Cost (₦)*]])</f>
        <v>15000</v>
      </c>
      <c r="K11" s="7">
        <f>Table38[[#This Row],[Qty]]*Table38[[#This Row],[Unit Cost (₦)*]]</f>
        <v>36000</v>
      </c>
      <c r="L11" s="7">
        <f t="shared" si="1"/>
        <v>15</v>
      </c>
      <c r="M11" s="7" t="str">
        <f t="shared" ca="1" si="2"/>
        <v>OK</v>
      </c>
      <c r="N11" s="7">
        <f>Table38[[#This Row],[Profit per Unit]]*Table38[[#This Row],[Units Sold (Monthly)]]</f>
        <v>15000</v>
      </c>
      <c r="O11" s="7" t="str">
        <f t="shared" si="3"/>
        <v>Jan</v>
      </c>
    </row>
    <row r="12" spans="1:15" x14ac:dyDescent="0.25">
      <c r="A12" s="6" t="s">
        <v>34</v>
      </c>
      <c r="B12" s="6" t="s">
        <v>35</v>
      </c>
      <c r="C12" s="6">
        <v>95</v>
      </c>
      <c r="D12" s="6">
        <v>300</v>
      </c>
      <c r="E12" s="6">
        <v>500</v>
      </c>
      <c r="F12" s="6" t="s">
        <v>36</v>
      </c>
      <c r="G12" s="6">
        <v>60</v>
      </c>
      <c r="H12" s="6">
        <f t="shared" si="0"/>
        <v>200</v>
      </c>
      <c r="I12" s="6">
        <f>Table38[[#This Row],[Units Sold (Monthly)]]*Table38[[#This Row],[Selling Price (₦)]]</f>
        <v>30000</v>
      </c>
      <c r="J12" s="10">
        <f>Table38[[#This Row],[Units Sold (Monthly)]]*(Table38[[#This Row],[Selling Price (₦)]]-Table38[[#This Row],[Unit Cost (₦)*]])</f>
        <v>12000</v>
      </c>
      <c r="K12" s="7">
        <f>Table38[[#This Row],[Qty]]*Table38[[#This Row],[Unit Cost (₦)*]]</f>
        <v>28500</v>
      </c>
      <c r="L12" s="7">
        <f t="shared" si="1"/>
        <v>35</v>
      </c>
      <c r="M12" s="7" t="str">
        <f t="shared" ca="1" si="2"/>
        <v>OK</v>
      </c>
      <c r="N12" s="7">
        <f>Table38[[#This Row],[Profit per Unit]]*Table38[[#This Row],[Units Sold (Monthly)]]</f>
        <v>12000</v>
      </c>
      <c r="O12" s="7" t="str">
        <f t="shared" si="3"/>
        <v>Nov</v>
      </c>
    </row>
    <row r="13" spans="1:15" x14ac:dyDescent="0.25">
      <c r="A13" s="6" t="s">
        <v>37</v>
      </c>
      <c r="B13" s="6" t="s">
        <v>7</v>
      </c>
      <c r="C13" s="6">
        <v>65</v>
      </c>
      <c r="D13" s="6">
        <v>450</v>
      </c>
      <c r="E13" s="6">
        <v>800</v>
      </c>
      <c r="F13" s="6" t="s">
        <v>38</v>
      </c>
      <c r="G13" s="6">
        <v>45</v>
      </c>
      <c r="H13" s="6">
        <f t="shared" si="0"/>
        <v>350</v>
      </c>
      <c r="I13" s="6">
        <f>Table38[[#This Row],[Units Sold (Monthly)]]*Table38[[#This Row],[Selling Price (₦)]]</f>
        <v>36000</v>
      </c>
      <c r="J13" s="10">
        <f>Table38[[#This Row],[Units Sold (Monthly)]]*(Table38[[#This Row],[Selling Price (₦)]]-Table38[[#This Row],[Unit Cost (₦)*]])</f>
        <v>15750</v>
      </c>
      <c r="K13" s="7">
        <f>Table38[[#This Row],[Qty]]*Table38[[#This Row],[Unit Cost (₦)*]]</f>
        <v>29250</v>
      </c>
      <c r="L13" s="7">
        <f t="shared" si="1"/>
        <v>20</v>
      </c>
      <c r="M13" s="7" t="str">
        <f t="shared" ca="1" si="2"/>
        <v>OK</v>
      </c>
      <c r="N13" s="7">
        <f>Table38[[#This Row],[Profit per Unit]]*Table38[[#This Row],[Units Sold (Monthly)]]</f>
        <v>15750</v>
      </c>
      <c r="O13" s="7" t="str">
        <f t="shared" si="3"/>
        <v>Feb</v>
      </c>
    </row>
    <row r="14" spans="1:15" x14ac:dyDescent="0.25">
      <c r="A14" s="6" t="s">
        <v>39</v>
      </c>
      <c r="B14" s="6" t="s">
        <v>40</v>
      </c>
      <c r="C14" s="6">
        <v>75</v>
      </c>
      <c r="D14" s="6">
        <v>500</v>
      </c>
      <c r="E14" s="6">
        <v>900</v>
      </c>
      <c r="F14" s="6" t="s">
        <v>41</v>
      </c>
      <c r="G14" s="6">
        <v>40</v>
      </c>
      <c r="H14" s="6">
        <f t="shared" si="0"/>
        <v>400</v>
      </c>
      <c r="I14" s="6">
        <f>Table38[[#This Row],[Units Sold (Monthly)]]*Table38[[#This Row],[Selling Price (₦)]]</f>
        <v>36000</v>
      </c>
      <c r="J14" s="10">
        <f>Table38[[#This Row],[Units Sold (Monthly)]]*(Table38[[#This Row],[Selling Price (₦)]]-Table38[[#This Row],[Unit Cost (₦)*]])</f>
        <v>16000</v>
      </c>
      <c r="K14" s="7">
        <f>Table38[[#This Row],[Qty]]*Table38[[#This Row],[Unit Cost (₦)*]]</f>
        <v>37500</v>
      </c>
      <c r="L14" s="7">
        <f t="shared" si="1"/>
        <v>35</v>
      </c>
      <c r="M14" s="7" t="str">
        <f t="shared" ca="1" si="2"/>
        <v>OK</v>
      </c>
      <c r="N14" s="7">
        <f>Table38[[#This Row],[Profit per Unit]]*Table38[[#This Row],[Units Sold (Monthly)]]</f>
        <v>16000</v>
      </c>
      <c r="O14" s="7" t="str">
        <f t="shared" si="3"/>
        <v>Oct</v>
      </c>
    </row>
    <row r="15" spans="1:15" x14ac:dyDescent="0.25">
      <c r="A15" s="6" t="s">
        <v>42</v>
      </c>
      <c r="B15" s="6" t="s">
        <v>43</v>
      </c>
      <c r="C15" s="6">
        <v>30</v>
      </c>
      <c r="D15" s="6">
        <v>2500</v>
      </c>
      <c r="E15" s="6">
        <v>3500</v>
      </c>
      <c r="F15" s="6" t="s">
        <v>44</v>
      </c>
      <c r="G15" s="6">
        <v>20</v>
      </c>
      <c r="H15" s="6">
        <f t="shared" si="0"/>
        <v>1000</v>
      </c>
      <c r="I15" s="6">
        <f>Table38[[#This Row],[Units Sold (Monthly)]]*Table38[[#This Row],[Selling Price (₦)]]</f>
        <v>70000</v>
      </c>
      <c r="J15" s="10">
        <f>Table38[[#This Row],[Units Sold (Monthly)]]*(Table38[[#This Row],[Selling Price (₦)]]-Table38[[#This Row],[Unit Cost (₦)*]])</f>
        <v>20000</v>
      </c>
      <c r="K15" s="7">
        <f>Table38[[#This Row],[Qty]]*Table38[[#This Row],[Unit Cost (₦)*]]</f>
        <v>75000</v>
      </c>
      <c r="L15" s="7">
        <f t="shared" si="1"/>
        <v>10</v>
      </c>
      <c r="M15" s="7" t="str">
        <f t="shared" ca="1" si="2"/>
        <v>EXPIRING SOON</v>
      </c>
      <c r="N15" s="7">
        <f>Table38[[#This Row],[Profit per Unit]]*Table38[[#This Row],[Units Sold (Monthly)]]</f>
        <v>20000</v>
      </c>
      <c r="O15" s="7" t="str">
        <f t="shared" si="3"/>
        <v>Oct</v>
      </c>
    </row>
    <row r="16" spans="1:15" x14ac:dyDescent="0.25">
      <c r="A16" s="6" t="s">
        <v>45</v>
      </c>
      <c r="B16" s="6" t="s">
        <v>46</v>
      </c>
      <c r="C16" s="6">
        <v>85</v>
      </c>
      <c r="D16" s="6">
        <v>400</v>
      </c>
      <c r="E16" s="6">
        <v>700</v>
      </c>
      <c r="F16" s="6" t="s">
        <v>47</v>
      </c>
      <c r="G16" s="6">
        <v>50</v>
      </c>
      <c r="H16" s="6">
        <f t="shared" si="0"/>
        <v>300</v>
      </c>
      <c r="I16" s="6">
        <f>Table38[[#This Row],[Units Sold (Monthly)]]*Table38[[#This Row],[Selling Price (₦)]]</f>
        <v>35000</v>
      </c>
      <c r="J16" s="10">
        <f>Table38[[#This Row],[Units Sold (Monthly)]]*(Table38[[#This Row],[Selling Price (₦)]]-Table38[[#This Row],[Unit Cost (₦)*]])</f>
        <v>15000</v>
      </c>
      <c r="K16" s="7">
        <f>Table38[[#This Row],[Qty]]*Table38[[#This Row],[Unit Cost (₦)*]]</f>
        <v>34000</v>
      </c>
      <c r="L16" s="7">
        <f t="shared" si="1"/>
        <v>35</v>
      </c>
      <c r="M16" s="7" t="str">
        <f t="shared" ca="1" si="2"/>
        <v>OK</v>
      </c>
      <c r="N16" s="7">
        <f>Table38[[#This Row],[Profit per Unit]]*Table38[[#This Row],[Units Sold (Monthly)]]</f>
        <v>15000</v>
      </c>
      <c r="O16" s="7" t="str">
        <f t="shared" si="3"/>
        <v>Jan</v>
      </c>
    </row>
    <row r="17" spans="1:15" x14ac:dyDescent="0.25">
      <c r="A17" s="6" t="s">
        <v>48</v>
      </c>
      <c r="B17" s="6" t="s">
        <v>13</v>
      </c>
      <c r="C17" s="6">
        <v>100</v>
      </c>
      <c r="D17" s="6">
        <v>250</v>
      </c>
      <c r="E17" s="6">
        <v>450</v>
      </c>
      <c r="F17" s="6" t="s">
        <v>49</v>
      </c>
      <c r="G17" s="6">
        <v>70</v>
      </c>
      <c r="H17" s="6">
        <f t="shared" si="0"/>
        <v>200</v>
      </c>
      <c r="I17" s="6">
        <f>Table38[[#This Row],[Units Sold (Monthly)]]*Table38[[#This Row],[Selling Price (₦)]]</f>
        <v>31500</v>
      </c>
      <c r="J17" s="10">
        <f>Table38[[#This Row],[Units Sold (Monthly)]]*(Table38[[#This Row],[Selling Price (₦)]]-Table38[[#This Row],[Unit Cost (₦)*]])</f>
        <v>14000</v>
      </c>
      <c r="K17" s="7">
        <f>Table38[[#This Row],[Qty]]*Table38[[#This Row],[Unit Cost (₦)*]]</f>
        <v>25000</v>
      </c>
      <c r="L17" s="7">
        <f t="shared" si="1"/>
        <v>30</v>
      </c>
      <c r="M17" s="7" t="str">
        <f t="shared" ca="1" si="2"/>
        <v>OK</v>
      </c>
      <c r="N17" s="7">
        <f>Table38[[#This Row],[Profit per Unit]]*Table38[[#This Row],[Units Sold (Monthly)]]</f>
        <v>14000</v>
      </c>
      <c r="O17" s="7" t="str">
        <f t="shared" si="3"/>
        <v>Apr</v>
      </c>
    </row>
    <row r="18" spans="1:15" x14ac:dyDescent="0.25">
      <c r="A18" s="6" t="s">
        <v>50</v>
      </c>
      <c r="B18" s="6" t="s">
        <v>10</v>
      </c>
      <c r="C18" s="6">
        <v>55</v>
      </c>
      <c r="D18" s="6">
        <v>800</v>
      </c>
      <c r="E18" s="6">
        <v>1200</v>
      </c>
      <c r="F18" s="6" t="s">
        <v>51</v>
      </c>
      <c r="G18" s="6">
        <v>35</v>
      </c>
      <c r="H18" s="6">
        <f t="shared" si="0"/>
        <v>400</v>
      </c>
      <c r="I18" s="6">
        <f>Table38[[#This Row],[Units Sold (Monthly)]]*Table38[[#This Row],[Selling Price (₦)]]</f>
        <v>42000</v>
      </c>
      <c r="J18" s="10">
        <f>Table38[[#This Row],[Units Sold (Monthly)]]*(Table38[[#This Row],[Selling Price (₦)]]-Table38[[#This Row],[Unit Cost (₦)*]])</f>
        <v>14000</v>
      </c>
      <c r="K18" s="7">
        <f>Table38[[#This Row],[Qty]]*Table38[[#This Row],[Unit Cost (₦)*]]</f>
        <v>44000</v>
      </c>
      <c r="L18" s="7">
        <f t="shared" si="1"/>
        <v>20</v>
      </c>
      <c r="M18" s="7" t="str">
        <f t="shared" ca="1" si="2"/>
        <v>EXPIRING SOON</v>
      </c>
      <c r="N18" s="7">
        <f>Table38[[#This Row],[Profit per Unit]]*Table38[[#This Row],[Units Sold (Monthly)]]</f>
        <v>14000</v>
      </c>
      <c r="O18" s="7" t="str">
        <f t="shared" si="3"/>
        <v>Apr</v>
      </c>
    </row>
    <row r="19" spans="1:15" x14ac:dyDescent="0.25">
      <c r="A19" s="6" t="s">
        <v>52</v>
      </c>
      <c r="B19" s="6" t="s">
        <v>13</v>
      </c>
      <c r="C19" s="6">
        <v>90</v>
      </c>
      <c r="D19" s="6">
        <v>350</v>
      </c>
      <c r="E19" s="6">
        <v>650</v>
      </c>
      <c r="F19" s="6" t="s">
        <v>53</v>
      </c>
      <c r="G19" s="6">
        <v>60</v>
      </c>
      <c r="H19" s="6">
        <f t="shared" si="0"/>
        <v>300</v>
      </c>
      <c r="I19" s="6">
        <f>Table38[[#This Row],[Units Sold (Monthly)]]*Table38[[#This Row],[Selling Price (₦)]]</f>
        <v>39000</v>
      </c>
      <c r="J19" s="10">
        <f>Table38[[#This Row],[Units Sold (Monthly)]]*(Table38[[#This Row],[Selling Price (₦)]]-Table38[[#This Row],[Unit Cost (₦)*]])</f>
        <v>18000</v>
      </c>
      <c r="K19" s="7">
        <f>Table38[[#This Row],[Qty]]*Table38[[#This Row],[Unit Cost (₦)*]]</f>
        <v>31500</v>
      </c>
      <c r="L19" s="7">
        <f t="shared" si="1"/>
        <v>30</v>
      </c>
      <c r="M19" s="7" t="str">
        <f t="shared" ca="1" si="2"/>
        <v>OK</v>
      </c>
      <c r="N19" s="7">
        <f>Table38[[#This Row],[Profit per Unit]]*Table38[[#This Row],[Units Sold (Monthly)]]</f>
        <v>18000</v>
      </c>
      <c r="O19" s="7" t="str">
        <f t="shared" si="3"/>
        <v>Apr</v>
      </c>
    </row>
    <row r="20" spans="1:15" x14ac:dyDescent="0.25">
      <c r="A20" s="6" t="s">
        <v>54</v>
      </c>
      <c r="B20" s="6" t="s">
        <v>21</v>
      </c>
      <c r="C20" s="6">
        <v>60</v>
      </c>
      <c r="D20" s="6">
        <v>700</v>
      </c>
      <c r="E20" s="6">
        <v>1100</v>
      </c>
      <c r="F20" s="6" t="s">
        <v>55</v>
      </c>
      <c r="G20" s="6">
        <v>50</v>
      </c>
      <c r="H20" s="6">
        <f t="shared" si="0"/>
        <v>400</v>
      </c>
      <c r="I20" s="6">
        <f>Table38[[#This Row],[Units Sold (Monthly)]]*Table38[[#This Row],[Selling Price (₦)]]</f>
        <v>55000</v>
      </c>
      <c r="J20" s="10">
        <f>Table38[[#This Row],[Units Sold (Monthly)]]*(Table38[[#This Row],[Selling Price (₦)]]-Table38[[#This Row],[Unit Cost (₦)*]])</f>
        <v>20000</v>
      </c>
      <c r="K20" s="7">
        <f>Table38[[#This Row],[Qty]]*Table38[[#This Row],[Unit Cost (₦)*]]</f>
        <v>42000</v>
      </c>
      <c r="L20" s="7">
        <f t="shared" si="1"/>
        <v>10</v>
      </c>
      <c r="M20" s="7" t="str">
        <f t="shared" ca="1" si="2"/>
        <v>EXPIRING SOON</v>
      </c>
      <c r="N20" s="7">
        <f>Table38[[#This Row],[Profit per Unit]]*Table38[[#This Row],[Units Sold (Monthly)]]</f>
        <v>20000</v>
      </c>
      <c r="O20" s="7" t="str">
        <f t="shared" si="3"/>
        <v>Oct</v>
      </c>
    </row>
    <row r="21" spans="1:15" x14ac:dyDescent="0.25">
      <c r="A21" s="6" t="s">
        <v>56</v>
      </c>
      <c r="B21" s="6" t="s">
        <v>18</v>
      </c>
      <c r="C21" s="6">
        <v>120</v>
      </c>
      <c r="D21" s="6">
        <v>150</v>
      </c>
      <c r="E21" s="6">
        <v>300</v>
      </c>
      <c r="F21" s="6" t="s">
        <v>57</v>
      </c>
      <c r="G21" s="6">
        <v>90</v>
      </c>
      <c r="H21" s="6">
        <f t="shared" si="0"/>
        <v>150</v>
      </c>
      <c r="I21" s="6">
        <f>Table38[[#This Row],[Units Sold (Monthly)]]*Table38[[#This Row],[Selling Price (₦)]]</f>
        <v>27000</v>
      </c>
      <c r="J21" s="10">
        <f>Table38[[#This Row],[Units Sold (Monthly)]]*(Table38[[#This Row],[Selling Price (₦)]]-Table38[[#This Row],[Unit Cost (₦)*]])</f>
        <v>13500</v>
      </c>
      <c r="K21" s="7">
        <f>Table38[[#This Row],[Qty]]*Table38[[#This Row],[Unit Cost (₦)*]]</f>
        <v>18000</v>
      </c>
      <c r="L21" s="7">
        <f t="shared" si="1"/>
        <v>30</v>
      </c>
      <c r="M21" s="7" t="str">
        <f t="shared" ca="1" si="2"/>
        <v>OK</v>
      </c>
      <c r="N21" s="7">
        <f>Table38[[#This Row],[Profit per Unit]]*Table38[[#This Row],[Units Sold (Monthly)]]</f>
        <v>13500</v>
      </c>
      <c r="O21" s="7" t="str">
        <f t="shared" si="3"/>
        <v>Dec</v>
      </c>
    </row>
    <row r="22" spans="1:15" x14ac:dyDescent="0.25">
      <c r="A22" s="6" t="s">
        <v>58</v>
      </c>
      <c r="B22" s="6" t="s">
        <v>7</v>
      </c>
      <c r="C22" s="6">
        <v>100</v>
      </c>
      <c r="D22" s="6">
        <v>250</v>
      </c>
      <c r="E22" s="6">
        <v>400</v>
      </c>
      <c r="F22" s="6" t="s">
        <v>59</v>
      </c>
      <c r="G22" s="6">
        <v>85</v>
      </c>
      <c r="H22" s="6">
        <f t="shared" si="0"/>
        <v>150</v>
      </c>
      <c r="I22" s="6">
        <f>Table38[[#This Row],[Units Sold (Monthly)]]*Table38[[#This Row],[Selling Price (₦)]]</f>
        <v>34000</v>
      </c>
      <c r="J22" s="10">
        <f>Table38[[#This Row],[Units Sold (Monthly)]]*(Table38[[#This Row],[Selling Price (₦)]]-Table38[[#This Row],[Unit Cost (₦)*]])</f>
        <v>12750</v>
      </c>
      <c r="K22" s="7">
        <f>Table38[[#This Row],[Qty]]*Table38[[#This Row],[Unit Cost (₦)*]]</f>
        <v>25000</v>
      </c>
      <c r="L22" s="7">
        <f t="shared" si="1"/>
        <v>15</v>
      </c>
      <c r="M22" s="7" t="str">
        <f t="shared" ca="1" si="2"/>
        <v>EXPIRING SOON</v>
      </c>
      <c r="N22" s="7">
        <f>Table38[[#This Row],[Profit per Unit]]*Table38[[#This Row],[Units Sold (Monthly)]]</f>
        <v>12750</v>
      </c>
      <c r="O22" s="7" t="str">
        <f t="shared" si="3"/>
        <v>Nov</v>
      </c>
    </row>
    <row r="23" spans="1:15" x14ac:dyDescent="0.25">
      <c r="A23" s="6" t="s">
        <v>60</v>
      </c>
      <c r="B23" s="6" t="s">
        <v>10</v>
      </c>
      <c r="C23" s="6">
        <v>65</v>
      </c>
      <c r="D23" s="6">
        <v>600</v>
      </c>
      <c r="E23" s="6">
        <v>950</v>
      </c>
      <c r="F23" s="6" t="s">
        <v>61</v>
      </c>
      <c r="G23" s="6">
        <v>45</v>
      </c>
      <c r="H23" s="6">
        <f t="shared" si="0"/>
        <v>350</v>
      </c>
      <c r="I23" s="6">
        <f>Table38[[#This Row],[Units Sold (Monthly)]]*Table38[[#This Row],[Selling Price (₦)]]</f>
        <v>42750</v>
      </c>
      <c r="J23" s="10">
        <f>Table38[[#This Row],[Units Sold (Monthly)]]*(Table38[[#This Row],[Selling Price (₦)]]-Table38[[#This Row],[Unit Cost (₦)*]])</f>
        <v>15750</v>
      </c>
      <c r="K23" s="7">
        <f>Table38[[#This Row],[Qty]]*Table38[[#This Row],[Unit Cost (₦)*]]</f>
        <v>39000</v>
      </c>
      <c r="L23" s="7">
        <f t="shared" si="1"/>
        <v>20</v>
      </c>
      <c r="M23" s="7" t="str">
        <f t="shared" ca="1" si="2"/>
        <v>EXPIRING SOON</v>
      </c>
      <c r="N23" s="7">
        <f>Table38[[#This Row],[Profit per Unit]]*Table38[[#This Row],[Units Sold (Monthly)]]</f>
        <v>15750</v>
      </c>
      <c r="O23" s="7" t="str">
        <f t="shared" si="3"/>
        <v>Feb</v>
      </c>
    </row>
    <row r="24" spans="1:15" x14ac:dyDescent="0.25">
      <c r="A24" s="6" t="s">
        <v>62</v>
      </c>
      <c r="B24" s="6" t="s">
        <v>40</v>
      </c>
      <c r="C24" s="6">
        <v>70</v>
      </c>
      <c r="D24" s="6">
        <v>500</v>
      </c>
      <c r="E24" s="6">
        <v>850</v>
      </c>
      <c r="F24" s="6" t="s">
        <v>63</v>
      </c>
      <c r="G24" s="6">
        <v>40</v>
      </c>
      <c r="H24" s="6">
        <f t="shared" si="0"/>
        <v>350</v>
      </c>
      <c r="I24" s="6">
        <f>Table38[[#This Row],[Units Sold (Monthly)]]*Table38[[#This Row],[Selling Price (₦)]]</f>
        <v>34000</v>
      </c>
      <c r="J24" s="10">
        <f>Table38[[#This Row],[Units Sold (Monthly)]]*(Table38[[#This Row],[Selling Price (₦)]]-Table38[[#This Row],[Unit Cost (₦)*]])</f>
        <v>14000</v>
      </c>
      <c r="K24" s="7">
        <f>Table38[[#This Row],[Qty]]*Table38[[#This Row],[Unit Cost (₦)*]]</f>
        <v>35000</v>
      </c>
      <c r="L24" s="7">
        <f t="shared" si="1"/>
        <v>30</v>
      </c>
      <c r="M24" s="7" t="str">
        <f t="shared" ca="1" si="2"/>
        <v>OK</v>
      </c>
      <c r="N24" s="7">
        <f>Table38[[#This Row],[Profit per Unit]]*Table38[[#This Row],[Units Sold (Monthly)]]</f>
        <v>14000</v>
      </c>
      <c r="O24" s="7" t="str">
        <f t="shared" si="3"/>
        <v>Apr</v>
      </c>
    </row>
    <row r="25" spans="1:15" x14ac:dyDescent="0.25">
      <c r="A25" s="6" t="s">
        <v>64</v>
      </c>
      <c r="B25" s="6" t="s">
        <v>32</v>
      </c>
      <c r="C25" s="6">
        <v>45</v>
      </c>
      <c r="D25" s="6">
        <v>1000</v>
      </c>
      <c r="E25" s="6">
        <v>1600</v>
      </c>
      <c r="F25" s="6" t="s">
        <v>65</v>
      </c>
      <c r="G25" s="6">
        <v>30</v>
      </c>
      <c r="H25" s="6">
        <f t="shared" si="0"/>
        <v>600</v>
      </c>
      <c r="I25" s="6">
        <f>Table38[[#This Row],[Units Sold (Monthly)]]*Table38[[#This Row],[Selling Price (₦)]]</f>
        <v>48000</v>
      </c>
      <c r="J25" s="10">
        <f>Table38[[#This Row],[Units Sold (Monthly)]]*(Table38[[#This Row],[Selling Price (₦)]]-Table38[[#This Row],[Unit Cost (₦)*]])</f>
        <v>18000</v>
      </c>
      <c r="K25" s="7">
        <f>Table38[[#This Row],[Qty]]*Table38[[#This Row],[Unit Cost (₦)*]]</f>
        <v>45000</v>
      </c>
      <c r="L25" s="7">
        <f t="shared" si="1"/>
        <v>15</v>
      </c>
      <c r="M25" s="7" t="str">
        <f t="shared" ca="1" si="2"/>
        <v>OK</v>
      </c>
      <c r="N25" s="7">
        <f>Table38[[#This Row],[Profit per Unit]]*Table38[[#This Row],[Units Sold (Monthly)]]</f>
        <v>18000</v>
      </c>
      <c r="O25" s="7" t="str">
        <f t="shared" si="3"/>
        <v>Apr</v>
      </c>
    </row>
    <row r="26" spans="1:15" x14ac:dyDescent="0.25">
      <c r="A26" s="6" t="s">
        <v>66</v>
      </c>
      <c r="B26" s="6" t="s">
        <v>27</v>
      </c>
      <c r="C26" s="6">
        <v>140</v>
      </c>
      <c r="D26" s="6">
        <v>120</v>
      </c>
      <c r="E26" s="6">
        <v>250</v>
      </c>
      <c r="F26" s="6" t="s">
        <v>67</v>
      </c>
      <c r="G26" s="6">
        <v>110</v>
      </c>
      <c r="H26" s="6">
        <f t="shared" si="0"/>
        <v>130</v>
      </c>
      <c r="I26" s="6">
        <f>Table38[[#This Row],[Units Sold (Monthly)]]*Table38[[#This Row],[Selling Price (₦)]]</f>
        <v>27500</v>
      </c>
      <c r="J26" s="10">
        <f>Table38[[#This Row],[Units Sold (Monthly)]]*(Table38[[#This Row],[Selling Price (₦)]]-Table38[[#This Row],[Unit Cost (₦)*]])</f>
        <v>14300</v>
      </c>
      <c r="K26" s="7">
        <f>Table38[[#This Row],[Qty]]*Table38[[#This Row],[Unit Cost (₦)*]]</f>
        <v>16800</v>
      </c>
      <c r="L26" s="7">
        <f t="shared" si="1"/>
        <v>30</v>
      </c>
      <c r="M26" s="7" t="str">
        <f t="shared" ca="1" si="2"/>
        <v>EXPIRING SOON</v>
      </c>
      <c r="N26" s="7">
        <f>Table38[[#This Row],[Profit per Unit]]*Table38[[#This Row],[Units Sold (Monthly)]]</f>
        <v>14300</v>
      </c>
      <c r="O26" s="7" t="str">
        <f t="shared" si="3"/>
        <v>Feb</v>
      </c>
    </row>
    <row r="27" spans="1:15" x14ac:dyDescent="0.25">
      <c r="A27" s="6" t="s">
        <v>68</v>
      </c>
      <c r="B27" s="6" t="s">
        <v>13</v>
      </c>
      <c r="C27" s="6">
        <v>80</v>
      </c>
      <c r="D27" s="6">
        <v>500</v>
      </c>
      <c r="E27" s="6">
        <v>900</v>
      </c>
      <c r="F27" s="6" t="s">
        <v>69</v>
      </c>
      <c r="G27" s="6">
        <v>55</v>
      </c>
      <c r="H27" s="6">
        <f t="shared" si="0"/>
        <v>400</v>
      </c>
      <c r="I27" s="6">
        <f>Table38[[#This Row],[Units Sold (Monthly)]]*Table38[[#This Row],[Selling Price (₦)]]</f>
        <v>49500</v>
      </c>
      <c r="J27" s="10">
        <f>Table38[[#This Row],[Units Sold (Monthly)]]*(Table38[[#This Row],[Selling Price (₦)]]-Table38[[#This Row],[Unit Cost (₦)*]])</f>
        <v>22000</v>
      </c>
      <c r="K27" s="7">
        <f>Table38[[#This Row],[Qty]]*Table38[[#This Row],[Unit Cost (₦)*]]</f>
        <v>40000</v>
      </c>
      <c r="L27" s="7">
        <f t="shared" si="1"/>
        <v>25</v>
      </c>
      <c r="M27" s="7" t="str">
        <f t="shared" ca="1" si="2"/>
        <v>OK</v>
      </c>
      <c r="N27" s="7">
        <f>Table38[[#This Row],[Profit per Unit]]*Table38[[#This Row],[Units Sold (Monthly)]]</f>
        <v>22000</v>
      </c>
      <c r="O27" s="7" t="str">
        <f t="shared" si="3"/>
        <v>Mar</v>
      </c>
    </row>
    <row r="28" spans="1:15" x14ac:dyDescent="0.25">
      <c r="A28" s="6" t="s">
        <v>70</v>
      </c>
      <c r="B28" s="6" t="s">
        <v>71</v>
      </c>
      <c r="C28" s="6">
        <v>75</v>
      </c>
      <c r="D28" s="6">
        <v>450</v>
      </c>
      <c r="E28" s="6">
        <v>750</v>
      </c>
      <c r="F28" s="6" t="s">
        <v>72</v>
      </c>
      <c r="G28" s="6">
        <v>50</v>
      </c>
      <c r="H28" s="6">
        <f t="shared" si="0"/>
        <v>300</v>
      </c>
      <c r="I28" s="6">
        <f>Table38[[#This Row],[Units Sold (Monthly)]]*Table38[[#This Row],[Selling Price (₦)]]</f>
        <v>37500</v>
      </c>
      <c r="J28" s="10">
        <f>Table38[[#This Row],[Units Sold (Monthly)]]*(Table38[[#This Row],[Selling Price (₦)]]-Table38[[#This Row],[Unit Cost (₦)*]])</f>
        <v>15000</v>
      </c>
      <c r="K28" s="7">
        <f>Table38[[#This Row],[Qty]]*Table38[[#This Row],[Unit Cost (₦)*]]</f>
        <v>33750</v>
      </c>
      <c r="L28" s="7">
        <f t="shared" si="1"/>
        <v>25</v>
      </c>
      <c r="M28" s="7" t="str">
        <f t="shared" ca="1" si="2"/>
        <v>OK</v>
      </c>
      <c r="N28" s="7">
        <f>Table38[[#This Row],[Profit per Unit]]*Table38[[#This Row],[Units Sold (Monthly)]]</f>
        <v>15000</v>
      </c>
      <c r="O28" s="7" t="str">
        <f t="shared" si="3"/>
        <v>Jan</v>
      </c>
    </row>
    <row r="29" spans="1:15" x14ac:dyDescent="0.25">
      <c r="A29" s="6" t="s">
        <v>73</v>
      </c>
      <c r="B29" s="6" t="s">
        <v>21</v>
      </c>
      <c r="C29" s="6">
        <v>25</v>
      </c>
      <c r="D29" s="6">
        <v>3000</v>
      </c>
      <c r="E29" s="6">
        <v>4500</v>
      </c>
      <c r="F29" s="6" t="s">
        <v>74</v>
      </c>
      <c r="G29" s="6">
        <v>15</v>
      </c>
      <c r="H29" s="6">
        <f t="shared" si="0"/>
        <v>1500</v>
      </c>
      <c r="I29" s="6">
        <f>Table38[[#This Row],[Units Sold (Monthly)]]*Table38[[#This Row],[Selling Price (₦)]]</f>
        <v>67500</v>
      </c>
      <c r="J29" s="10">
        <f>Table38[[#This Row],[Units Sold (Monthly)]]*(Table38[[#This Row],[Selling Price (₦)]]-Table38[[#This Row],[Unit Cost (₦)*]])</f>
        <v>22500</v>
      </c>
      <c r="K29" s="7">
        <f>Table38[[#This Row],[Qty]]*Table38[[#This Row],[Unit Cost (₦)*]]</f>
        <v>75000</v>
      </c>
      <c r="L29" s="7">
        <f t="shared" si="1"/>
        <v>10</v>
      </c>
      <c r="M29" s="7" t="str">
        <f t="shared" ca="1" si="2"/>
        <v>EXPIRING SOON</v>
      </c>
      <c r="N29" s="7">
        <f>Table38[[#This Row],[Profit per Unit]]*Table38[[#This Row],[Units Sold (Monthly)]]</f>
        <v>22500</v>
      </c>
      <c r="O29" s="7" t="str">
        <f t="shared" si="3"/>
        <v>Aug</v>
      </c>
    </row>
    <row r="30" spans="1:15" x14ac:dyDescent="0.25">
      <c r="A30" s="6" t="s">
        <v>75</v>
      </c>
      <c r="B30" s="6" t="s">
        <v>7</v>
      </c>
      <c r="C30" s="6">
        <v>90</v>
      </c>
      <c r="D30" s="6">
        <v>300</v>
      </c>
      <c r="E30" s="6">
        <v>600</v>
      </c>
      <c r="F30" s="6" t="s">
        <v>76</v>
      </c>
      <c r="G30" s="6">
        <v>65</v>
      </c>
      <c r="H30" s="6">
        <f t="shared" si="0"/>
        <v>300</v>
      </c>
      <c r="I30" s="6">
        <f>Table38[[#This Row],[Units Sold (Monthly)]]*Table38[[#This Row],[Selling Price (₦)]]</f>
        <v>39000</v>
      </c>
      <c r="J30" s="10">
        <f>Table38[[#This Row],[Units Sold (Monthly)]]*(Table38[[#This Row],[Selling Price (₦)]]-Table38[[#This Row],[Unit Cost (₦)*]])</f>
        <v>19500</v>
      </c>
      <c r="K30" s="7">
        <f>Table38[[#This Row],[Qty]]*Table38[[#This Row],[Unit Cost (₦)*]]</f>
        <v>27000</v>
      </c>
      <c r="L30" s="7">
        <f t="shared" si="1"/>
        <v>25</v>
      </c>
      <c r="M30" s="7" t="str">
        <f t="shared" ca="1" si="2"/>
        <v>OK</v>
      </c>
      <c r="N30" s="7">
        <f>Table38[[#This Row],[Profit per Unit]]*Table38[[#This Row],[Units Sold (Monthly)]]</f>
        <v>19500</v>
      </c>
      <c r="O30" s="7" t="str">
        <f t="shared" si="3"/>
        <v>May</v>
      </c>
    </row>
    <row r="31" spans="1:15" x14ac:dyDescent="0.25">
      <c r="A31" s="6" t="s">
        <v>77</v>
      </c>
      <c r="B31" s="6" t="s">
        <v>13</v>
      </c>
      <c r="C31" s="6">
        <v>85</v>
      </c>
      <c r="D31" s="6">
        <v>350</v>
      </c>
      <c r="E31" s="6">
        <v>650</v>
      </c>
      <c r="F31" s="6" t="s">
        <v>78</v>
      </c>
      <c r="G31" s="6">
        <v>60</v>
      </c>
      <c r="H31" s="6">
        <f t="shared" si="0"/>
        <v>300</v>
      </c>
      <c r="I31" s="6">
        <f>Table38[[#This Row],[Units Sold (Monthly)]]*Table38[[#This Row],[Selling Price (₦)]]</f>
        <v>39000</v>
      </c>
      <c r="J31" s="10">
        <f>Table38[[#This Row],[Units Sold (Monthly)]]*(Table38[[#This Row],[Selling Price (₦)]]-Table38[[#This Row],[Unit Cost (₦)*]])</f>
        <v>18000</v>
      </c>
      <c r="K31" s="7">
        <f>Table38[[#This Row],[Qty]]*Table38[[#This Row],[Unit Cost (₦)*]]</f>
        <v>29750</v>
      </c>
      <c r="L31" s="7">
        <f t="shared" si="1"/>
        <v>25</v>
      </c>
      <c r="M31" s="7" t="str">
        <f t="shared" ca="1" si="2"/>
        <v>OK</v>
      </c>
      <c r="N31" s="7">
        <f>Table38[[#This Row],[Profit per Unit]]*Table38[[#This Row],[Units Sold (Monthly)]]</f>
        <v>18000</v>
      </c>
      <c r="O31" s="7" t="str">
        <f t="shared" si="3"/>
        <v>Apr</v>
      </c>
    </row>
    <row r="32" spans="1:15" x14ac:dyDescent="0.25">
      <c r="A32" s="6" t="s">
        <v>79</v>
      </c>
      <c r="B32" s="6" t="s">
        <v>46</v>
      </c>
      <c r="C32" s="6">
        <v>60</v>
      </c>
      <c r="D32" s="6">
        <v>500</v>
      </c>
      <c r="E32" s="6">
        <v>900</v>
      </c>
      <c r="F32" s="6" t="s">
        <v>80</v>
      </c>
      <c r="G32" s="6">
        <v>40</v>
      </c>
      <c r="H32" s="6">
        <f t="shared" si="0"/>
        <v>400</v>
      </c>
      <c r="I32" s="6">
        <f>Table38[[#This Row],[Units Sold (Monthly)]]*Table38[[#This Row],[Selling Price (₦)]]</f>
        <v>36000</v>
      </c>
      <c r="J32" s="10">
        <f>Table38[[#This Row],[Units Sold (Monthly)]]*(Table38[[#This Row],[Selling Price (₦)]]-Table38[[#This Row],[Unit Cost (₦)*]])</f>
        <v>16000</v>
      </c>
      <c r="K32" s="7">
        <f>Table38[[#This Row],[Qty]]*Table38[[#This Row],[Unit Cost (₦)*]]</f>
        <v>30000</v>
      </c>
      <c r="L32" s="7">
        <f t="shared" si="1"/>
        <v>20</v>
      </c>
      <c r="M32" s="7" t="str">
        <f t="shared" ca="1" si="2"/>
        <v>OK</v>
      </c>
      <c r="N32" s="7">
        <f>Table38[[#This Row],[Profit per Unit]]*Table38[[#This Row],[Units Sold (Monthly)]]</f>
        <v>16000</v>
      </c>
      <c r="O32" s="7" t="str">
        <f t="shared" si="3"/>
        <v>Oct</v>
      </c>
    </row>
    <row r="33" spans="1:15" x14ac:dyDescent="0.25">
      <c r="A33" s="6" t="s">
        <v>81</v>
      </c>
      <c r="B33" s="6" t="s">
        <v>18</v>
      </c>
      <c r="C33" s="6">
        <v>100</v>
      </c>
      <c r="D33" s="6">
        <v>400</v>
      </c>
      <c r="E33" s="6">
        <v>750</v>
      </c>
      <c r="F33" s="6" t="s">
        <v>82</v>
      </c>
      <c r="G33" s="6">
        <v>80</v>
      </c>
      <c r="H33" s="6">
        <f t="shared" si="0"/>
        <v>350</v>
      </c>
      <c r="I33" s="6">
        <f>Table38[[#This Row],[Units Sold (Monthly)]]*Table38[[#This Row],[Selling Price (₦)]]</f>
        <v>60000</v>
      </c>
      <c r="J33" s="10">
        <f>Table38[[#This Row],[Units Sold (Monthly)]]*(Table38[[#This Row],[Selling Price (₦)]]-Table38[[#This Row],[Unit Cost (₦)*]])</f>
        <v>28000</v>
      </c>
      <c r="K33" s="7">
        <f>Table38[[#This Row],[Qty]]*Table38[[#This Row],[Unit Cost (₦)*]]</f>
        <v>40000</v>
      </c>
      <c r="L33" s="7">
        <f t="shared" si="1"/>
        <v>20</v>
      </c>
      <c r="M33" s="7" t="str">
        <f t="shared" ca="1" si="2"/>
        <v>EXPIRING SOON</v>
      </c>
      <c r="N33" s="7">
        <f>Table38[[#This Row],[Profit per Unit]]*Table38[[#This Row],[Units Sold (Monthly)]]</f>
        <v>28000</v>
      </c>
      <c r="O33" s="7" t="str">
        <f t="shared" si="3"/>
        <v>Aug</v>
      </c>
    </row>
    <row r="34" spans="1:15" x14ac:dyDescent="0.25">
      <c r="A34" s="6" t="s">
        <v>83</v>
      </c>
      <c r="B34" s="6" t="s">
        <v>10</v>
      </c>
      <c r="C34" s="6">
        <v>70</v>
      </c>
      <c r="D34" s="6">
        <v>550</v>
      </c>
      <c r="E34" s="6">
        <v>950</v>
      </c>
      <c r="F34" s="6" t="s">
        <v>84</v>
      </c>
      <c r="G34" s="6">
        <v>50</v>
      </c>
      <c r="H34" s="6">
        <f t="shared" si="0"/>
        <v>400</v>
      </c>
      <c r="I34" s="6">
        <f>Table38[[#This Row],[Units Sold (Monthly)]]*Table38[[#This Row],[Selling Price (₦)]]</f>
        <v>47500</v>
      </c>
      <c r="J34" s="10">
        <f>Table38[[#This Row],[Units Sold (Monthly)]]*(Table38[[#This Row],[Selling Price (₦)]]-Table38[[#This Row],[Unit Cost (₦)*]])</f>
        <v>20000</v>
      </c>
      <c r="K34" s="7">
        <f>Table38[[#This Row],[Qty]]*Table38[[#This Row],[Unit Cost (₦)*]]</f>
        <v>38500</v>
      </c>
      <c r="L34" s="7">
        <f t="shared" si="1"/>
        <v>20</v>
      </c>
      <c r="M34" s="7" t="str">
        <f t="shared" ca="1" si="2"/>
        <v>EXPIRING SOON</v>
      </c>
      <c r="N34" s="7">
        <f>Table38[[#This Row],[Profit per Unit]]*Table38[[#This Row],[Units Sold (Monthly)]]</f>
        <v>20000</v>
      </c>
      <c r="O34" s="7" t="str">
        <f t="shared" si="3"/>
        <v>Oct</v>
      </c>
    </row>
    <row r="35" spans="1:15" x14ac:dyDescent="0.25">
      <c r="A35" s="6" t="s">
        <v>85</v>
      </c>
      <c r="B35" s="6" t="s">
        <v>40</v>
      </c>
      <c r="C35" s="6">
        <v>50</v>
      </c>
      <c r="D35" s="6">
        <v>800</v>
      </c>
      <c r="E35" s="6">
        <v>1300</v>
      </c>
      <c r="F35" s="6" t="s">
        <v>86</v>
      </c>
      <c r="G35" s="6">
        <v>30</v>
      </c>
      <c r="H35" s="6">
        <f t="shared" si="0"/>
        <v>500</v>
      </c>
      <c r="I35" s="6">
        <f>Table38[[#This Row],[Units Sold (Monthly)]]*Table38[[#This Row],[Selling Price (₦)]]</f>
        <v>39000</v>
      </c>
      <c r="J35" s="10">
        <f>Table38[[#This Row],[Units Sold (Monthly)]]*(Table38[[#This Row],[Selling Price (₦)]]-Table38[[#This Row],[Unit Cost (₦)*]])</f>
        <v>15000</v>
      </c>
      <c r="K35" s="7">
        <f>Table38[[#This Row],[Qty]]*Table38[[#This Row],[Unit Cost (₦)*]]</f>
        <v>40000</v>
      </c>
      <c r="L35" s="7">
        <f t="shared" si="1"/>
        <v>20</v>
      </c>
      <c r="M35" s="7" t="str">
        <f t="shared" ca="1" si="2"/>
        <v>EXPIRING SOON</v>
      </c>
      <c r="N35" s="7">
        <f>Table38[[#This Row],[Profit per Unit]]*Table38[[#This Row],[Units Sold (Monthly)]]</f>
        <v>15000</v>
      </c>
      <c r="O35" s="7" t="str">
        <f t="shared" si="3"/>
        <v>Jan</v>
      </c>
    </row>
    <row r="36" spans="1:15" x14ac:dyDescent="0.25">
      <c r="A36" s="6" t="s">
        <v>87</v>
      </c>
      <c r="B36" s="6" t="s">
        <v>7</v>
      </c>
      <c r="C36" s="6">
        <v>110</v>
      </c>
      <c r="D36" s="6">
        <v>200</v>
      </c>
      <c r="E36" s="6">
        <v>350</v>
      </c>
      <c r="F36" s="6" t="s">
        <v>88</v>
      </c>
      <c r="G36" s="6">
        <v>95</v>
      </c>
      <c r="H36" s="6">
        <f t="shared" si="0"/>
        <v>150</v>
      </c>
      <c r="I36" s="6">
        <f>Table38[[#This Row],[Units Sold (Monthly)]]*Table38[[#This Row],[Selling Price (₦)]]</f>
        <v>33250</v>
      </c>
      <c r="J36" s="10">
        <f>Table38[[#This Row],[Units Sold (Monthly)]]*(Table38[[#This Row],[Selling Price (₦)]]-Table38[[#This Row],[Unit Cost (₦)*]])</f>
        <v>14250</v>
      </c>
      <c r="K36" s="7">
        <f>Table38[[#This Row],[Qty]]*Table38[[#This Row],[Unit Cost (₦)*]]</f>
        <v>22000</v>
      </c>
      <c r="L36" s="7">
        <f t="shared" si="1"/>
        <v>15</v>
      </c>
      <c r="M36" s="7" t="str">
        <f t="shared" ca="1" si="2"/>
        <v>EXPIRING SOON</v>
      </c>
      <c r="N36" s="7">
        <f>Table38[[#This Row],[Profit per Unit]]*Table38[[#This Row],[Units Sold (Monthly)]]</f>
        <v>14250</v>
      </c>
      <c r="O36" s="7" t="str">
        <f t="shared" si="3"/>
        <v>Jan</v>
      </c>
    </row>
    <row r="37" spans="1:15" x14ac:dyDescent="0.25">
      <c r="A37" s="6" t="s">
        <v>89</v>
      </c>
      <c r="B37" s="6" t="s">
        <v>43</v>
      </c>
      <c r="C37" s="6">
        <v>40</v>
      </c>
      <c r="D37" s="6">
        <v>1500</v>
      </c>
      <c r="E37" s="6">
        <v>2200</v>
      </c>
      <c r="F37" s="6" t="s">
        <v>90</v>
      </c>
      <c r="G37" s="6">
        <v>25</v>
      </c>
      <c r="H37" s="6">
        <f t="shared" si="0"/>
        <v>700</v>
      </c>
      <c r="I37" s="6">
        <f>Table38[[#This Row],[Units Sold (Monthly)]]*Table38[[#This Row],[Selling Price (₦)]]</f>
        <v>55000</v>
      </c>
      <c r="J37" s="10">
        <f>Table38[[#This Row],[Units Sold (Monthly)]]*(Table38[[#This Row],[Selling Price (₦)]]-Table38[[#This Row],[Unit Cost (₦)*]])</f>
        <v>17500</v>
      </c>
      <c r="K37" s="7">
        <f>Table38[[#This Row],[Qty]]*Table38[[#This Row],[Unit Cost (₦)*]]</f>
        <v>60000</v>
      </c>
      <c r="L37" s="7">
        <f t="shared" si="1"/>
        <v>15</v>
      </c>
      <c r="M37" s="7" t="str">
        <f t="shared" ca="1" si="2"/>
        <v>OK</v>
      </c>
      <c r="N37" s="7">
        <f>Table38[[#This Row],[Profit per Unit]]*Table38[[#This Row],[Units Sold (Monthly)]]</f>
        <v>17500</v>
      </c>
      <c r="O37" s="7" t="str">
        <f t="shared" si="3"/>
        <v>Nov</v>
      </c>
    </row>
    <row r="38" spans="1:15" x14ac:dyDescent="0.25">
      <c r="A38" s="6" t="s">
        <v>91</v>
      </c>
      <c r="B38" s="6" t="s">
        <v>27</v>
      </c>
      <c r="C38" s="6">
        <v>130</v>
      </c>
      <c r="D38" s="6">
        <v>150</v>
      </c>
      <c r="E38" s="6">
        <v>300</v>
      </c>
      <c r="F38" s="6" t="s">
        <v>92</v>
      </c>
      <c r="G38" s="6">
        <v>100</v>
      </c>
      <c r="H38" s="6">
        <f t="shared" si="0"/>
        <v>150</v>
      </c>
      <c r="I38" s="6">
        <f>Table38[[#This Row],[Units Sold (Monthly)]]*Table38[[#This Row],[Selling Price (₦)]]</f>
        <v>30000</v>
      </c>
      <c r="J38" s="10">
        <f>Table38[[#This Row],[Units Sold (Monthly)]]*(Table38[[#This Row],[Selling Price (₦)]]-Table38[[#This Row],[Unit Cost (₦)*]])</f>
        <v>15000</v>
      </c>
      <c r="K38" s="7">
        <f>Table38[[#This Row],[Qty]]*Table38[[#This Row],[Unit Cost (₦)*]]</f>
        <v>19500</v>
      </c>
      <c r="L38" s="7">
        <f t="shared" si="1"/>
        <v>30</v>
      </c>
      <c r="M38" s="7" t="str">
        <f t="shared" ca="1" si="2"/>
        <v>EXPIRING SOON</v>
      </c>
      <c r="N38" s="7">
        <f>Table38[[#This Row],[Profit per Unit]]*Table38[[#This Row],[Units Sold (Monthly)]]</f>
        <v>15000</v>
      </c>
      <c r="O38" s="7" t="str">
        <f t="shared" si="3"/>
        <v>Jan</v>
      </c>
    </row>
    <row r="39" spans="1:15" x14ac:dyDescent="0.25">
      <c r="A39" s="6" t="s">
        <v>93</v>
      </c>
      <c r="B39" s="6" t="s">
        <v>13</v>
      </c>
      <c r="C39" s="6">
        <v>95</v>
      </c>
      <c r="D39" s="6">
        <v>450</v>
      </c>
      <c r="E39" s="6">
        <v>800</v>
      </c>
      <c r="F39" s="6" t="s">
        <v>94</v>
      </c>
      <c r="G39" s="6">
        <v>70</v>
      </c>
      <c r="H39" s="6">
        <f t="shared" si="0"/>
        <v>350</v>
      </c>
      <c r="I39" s="6">
        <f>Table38[[#This Row],[Units Sold (Monthly)]]*Table38[[#This Row],[Selling Price (₦)]]</f>
        <v>56000</v>
      </c>
      <c r="J39" s="10">
        <f>Table38[[#This Row],[Units Sold (Monthly)]]*(Table38[[#This Row],[Selling Price (₦)]]-Table38[[#This Row],[Unit Cost (₦)*]])</f>
        <v>24500</v>
      </c>
      <c r="K39" s="7">
        <f>Table38[[#This Row],[Qty]]*Table38[[#This Row],[Unit Cost (₦)*]]</f>
        <v>42750</v>
      </c>
      <c r="L39" s="7">
        <f t="shared" si="1"/>
        <v>25</v>
      </c>
      <c r="M39" s="7" t="str">
        <f t="shared" ca="1" si="2"/>
        <v>OK</v>
      </c>
      <c r="N39" s="7">
        <f>Table38[[#This Row],[Profit per Unit]]*Table38[[#This Row],[Units Sold (Monthly)]]</f>
        <v>24500</v>
      </c>
      <c r="O39" s="7" t="str">
        <f t="shared" si="3"/>
        <v>Jan</v>
      </c>
    </row>
    <row r="40" spans="1:15" x14ac:dyDescent="0.25">
      <c r="A40" s="6" t="s">
        <v>95</v>
      </c>
      <c r="B40" s="6" t="s">
        <v>24</v>
      </c>
      <c r="C40" s="6">
        <v>85</v>
      </c>
      <c r="D40" s="6">
        <v>300</v>
      </c>
      <c r="E40" s="6">
        <v>550</v>
      </c>
      <c r="F40" s="6" t="s">
        <v>96</v>
      </c>
      <c r="G40" s="6">
        <v>60</v>
      </c>
      <c r="H40" s="6">
        <f t="shared" si="0"/>
        <v>250</v>
      </c>
      <c r="I40" s="6">
        <f>Table38[[#This Row],[Units Sold (Monthly)]]*Table38[[#This Row],[Selling Price (₦)]]</f>
        <v>33000</v>
      </c>
      <c r="J40" s="10">
        <f>Table38[[#This Row],[Units Sold (Monthly)]]*(Table38[[#This Row],[Selling Price (₦)]]-Table38[[#This Row],[Unit Cost (₦)*]])</f>
        <v>15000</v>
      </c>
      <c r="K40" s="7">
        <f>Table38[[#This Row],[Qty]]*Table38[[#This Row],[Unit Cost (₦)*]]</f>
        <v>25500</v>
      </c>
      <c r="L40" s="7">
        <f t="shared" si="1"/>
        <v>25</v>
      </c>
      <c r="M40" s="7" t="str">
        <f t="shared" ca="1" si="2"/>
        <v>OK</v>
      </c>
      <c r="N40" s="7">
        <f>Table38[[#This Row],[Profit per Unit]]*Table38[[#This Row],[Units Sold (Monthly)]]</f>
        <v>15000</v>
      </c>
      <c r="O40" s="7" t="str">
        <f t="shared" si="3"/>
        <v>Jan</v>
      </c>
    </row>
    <row r="41" spans="1:15" x14ac:dyDescent="0.25">
      <c r="A41" s="6" t="s">
        <v>97</v>
      </c>
      <c r="B41" s="6" t="s">
        <v>18</v>
      </c>
      <c r="C41" s="6">
        <v>60</v>
      </c>
      <c r="D41" s="6">
        <v>700</v>
      </c>
      <c r="E41" s="6">
        <v>1200</v>
      </c>
      <c r="F41" s="6" t="s">
        <v>98</v>
      </c>
      <c r="G41" s="6">
        <v>45</v>
      </c>
      <c r="H41" s="6">
        <f t="shared" si="0"/>
        <v>500</v>
      </c>
      <c r="I41" s="6">
        <f>Table38[[#This Row],[Units Sold (Monthly)]]*Table38[[#This Row],[Selling Price (₦)]]</f>
        <v>54000</v>
      </c>
      <c r="J41" s="10">
        <f>Table38[[#This Row],[Units Sold (Monthly)]]*(Table38[[#This Row],[Selling Price (₦)]]-Table38[[#This Row],[Unit Cost (₦)*]])</f>
        <v>22500</v>
      </c>
      <c r="K41" s="7">
        <f>Table38[[#This Row],[Qty]]*Table38[[#This Row],[Unit Cost (₦)*]]</f>
        <v>42000</v>
      </c>
      <c r="L41" s="7">
        <f t="shared" si="1"/>
        <v>15</v>
      </c>
      <c r="M41" s="7" t="str">
        <f t="shared" ca="1" si="2"/>
        <v>EXPIRING SOON</v>
      </c>
      <c r="N41" s="7">
        <f>Table38[[#This Row],[Profit per Unit]]*Table38[[#This Row],[Units Sold (Monthly)]]</f>
        <v>22500</v>
      </c>
      <c r="O41" s="7" t="str">
        <f t="shared" si="3"/>
        <v>Aug</v>
      </c>
    </row>
    <row r="42" spans="1:15" x14ac:dyDescent="0.25">
      <c r="A42" s="6" t="s">
        <v>99</v>
      </c>
      <c r="B42" s="6" t="s">
        <v>21</v>
      </c>
      <c r="C42" s="6">
        <v>20</v>
      </c>
      <c r="D42" s="6">
        <v>3500</v>
      </c>
      <c r="E42" s="6">
        <v>5000</v>
      </c>
      <c r="F42" s="6" t="s">
        <v>100</v>
      </c>
      <c r="G42" s="6">
        <v>10</v>
      </c>
      <c r="H42" s="6">
        <f t="shared" si="0"/>
        <v>1500</v>
      </c>
      <c r="I42" s="6">
        <f>Table38[[#This Row],[Units Sold (Monthly)]]*Table38[[#This Row],[Selling Price (₦)]]</f>
        <v>50000</v>
      </c>
      <c r="J42" s="10">
        <f>Table38[[#This Row],[Units Sold (Monthly)]]*(Table38[[#This Row],[Selling Price (₦)]]-Table38[[#This Row],[Unit Cost (₦)*]])</f>
        <v>15000</v>
      </c>
      <c r="K42" s="7">
        <f>Table38[[#This Row],[Qty]]*Table38[[#This Row],[Unit Cost (₦)*]]</f>
        <v>70000</v>
      </c>
      <c r="L42" s="7">
        <f t="shared" si="1"/>
        <v>10</v>
      </c>
      <c r="M42" s="7" t="str">
        <f t="shared" ca="1" si="2"/>
        <v>EXPIRING SOON</v>
      </c>
      <c r="N42" s="7">
        <f>Table38[[#This Row],[Profit per Unit]]*Table38[[#This Row],[Units Sold (Monthly)]]</f>
        <v>15000</v>
      </c>
      <c r="O42" s="7" t="str">
        <f t="shared" si="3"/>
        <v>Jan</v>
      </c>
    </row>
    <row r="43" spans="1:15" x14ac:dyDescent="0.25">
      <c r="A43" s="6" t="s">
        <v>101</v>
      </c>
      <c r="B43" s="6" t="s">
        <v>7</v>
      </c>
      <c r="C43" s="6">
        <v>75</v>
      </c>
      <c r="D43" s="6">
        <v>500</v>
      </c>
      <c r="E43" s="6">
        <v>900</v>
      </c>
      <c r="F43" s="6" t="s">
        <v>102</v>
      </c>
      <c r="G43" s="6">
        <v>55</v>
      </c>
      <c r="H43" s="6">
        <f t="shared" si="0"/>
        <v>400</v>
      </c>
      <c r="I43" s="6">
        <f>Table38[[#This Row],[Units Sold (Monthly)]]*Table38[[#This Row],[Selling Price (₦)]]</f>
        <v>49500</v>
      </c>
      <c r="J43" s="10">
        <f>Table38[[#This Row],[Units Sold (Monthly)]]*(Table38[[#This Row],[Selling Price (₦)]]-Table38[[#This Row],[Unit Cost (₦)*]])</f>
        <v>22000</v>
      </c>
      <c r="K43" s="7">
        <f>Table38[[#This Row],[Qty]]*Table38[[#This Row],[Unit Cost (₦)*]]</f>
        <v>37500</v>
      </c>
      <c r="L43" s="7">
        <f t="shared" si="1"/>
        <v>20</v>
      </c>
      <c r="M43" s="7" t="str">
        <f t="shared" ca="1" si="2"/>
        <v>OK</v>
      </c>
      <c r="N43" s="7">
        <f>Table38[[#This Row],[Profit per Unit]]*Table38[[#This Row],[Units Sold (Monthly)]]</f>
        <v>22000</v>
      </c>
      <c r="O43" s="7" t="str">
        <f t="shared" si="3"/>
        <v>Mar</v>
      </c>
    </row>
    <row r="44" spans="1:15" x14ac:dyDescent="0.25">
      <c r="A44" s="6" t="s">
        <v>103</v>
      </c>
      <c r="B44" s="6" t="s">
        <v>13</v>
      </c>
      <c r="C44" s="6">
        <v>100</v>
      </c>
      <c r="D44" s="6">
        <v>250</v>
      </c>
      <c r="E44" s="6">
        <v>500</v>
      </c>
      <c r="F44" s="6" t="s">
        <v>104</v>
      </c>
      <c r="G44" s="6">
        <v>80</v>
      </c>
      <c r="H44" s="6">
        <f t="shared" si="0"/>
        <v>250</v>
      </c>
      <c r="I44" s="6">
        <f>Table38[[#This Row],[Units Sold (Monthly)]]*Table38[[#This Row],[Selling Price (₦)]]</f>
        <v>40000</v>
      </c>
      <c r="J44" s="10">
        <f>Table38[[#This Row],[Units Sold (Monthly)]]*(Table38[[#This Row],[Selling Price (₦)]]-Table38[[#This Row],[Unit Cost (₦)*]])</f>
        <v>20000</v>
      </c>
      <c r="K44" s="7">
        <f>Table38[[#This Row],[Qty]]*Table38[[#This Row],[Unit Cost (₦)*]]</f>
        <v>25000</v>
      </c>
      <c r="L44" s="7">
        <f t="shared" si="1"/>
        <v>20</v>
      </c>
      <c r="M44" s="7" t="str">
        <f t="shared" ca="1" si="2"/>
        <v>OK</v>
      </c>
      <c r="N44" s="7">
        <f>Table38[[#This Row],[Profit per Unit]]*Table38[[#This Row],[Units Sold (Monthly)]]</f>
        <v>20000</v>
      </c>
      <c r="O44" s="7" t="str">
        <f t="shared" si="3"/>
        <v>Oct</v>
      </c>
    </row>
    <row r="45" spans="1:15" x14ac:dyDescent="0.25">
      <c r="A45" s="6" t="s">
        <v>105</v>
      </c>
      <c r="B45" s="6" t="s">
        <v>10</v>
      </c>
      <c r="C45" s="6">
        <v>65</v>
      </c>
      <c r="D45" s="6">
        <v>600</v>
      </c>
      <c r="E45" s="6">
        <v>1000</v>
      </c>
      <c r="F45" s="6" t="s">
        <v>106</v>
      </c>
      <c r="G45" s="6">
        <v>50</v>
      </c>
      <c r="H45" s="6">
        <f t="shared" si="0"/>
        <v>400</v>
      </c>
      <c r="I45" s="6">
        <f>Table38[[#This Row],[Units Sold (Monthly)]]*Table38[[#This Row],[Selling Price (₦)]]</f>
        <v>50000</v>
      </c>
      <c r="J45" s="10">
        <f>Table38[[#This Row],[Units Sold (Monthly)]]*(Table38[[#This Row],[Selling Price (₦)]]-Table38[[#This Row],[Unit Cost (₦)*]])</f>
        <v>20000</v>
      </c>
      <c r="K45" s="7">
        <f>Table38[[#This Row],[Qty]]*Table38[[#This Row],[Unit Cost (₦)*]]</f>
        <v>39000</v>
      </c>
      <c r="L45" s="7">
        <f t="shared" si="1"/>
        <v>15</v>
      </c>
      <c r="M45" s="7" t="str">
        <f t="shared" ca="1" si="2"/>
        <v>EXPIRING SOON</v>
      </c>
      <c r="N45" s="7">
        <f>Table38[[#This Row],[Profit per Unit]]*Table38[[#This Row],[Units Sold (Monthly)]]</f>
        <v>20000</v>
      </c>
      <c r="O45" s="7" t="str">
        <f t="shared" si="3"/>
        <v>Oct</v>
      </c>
    </row>
    <row r="46" spans="1:15" x14ac:dyDescent="0.25">
      <c r="A46" s="6" t="s">
        <v>107</v>
      </c>
      <c r="B46" s="6" t="s">
        <v>40</v>
      </c>
      <c r="C46" s="6">
        <v>90</v>
      </c>
      <c r="D46" s="6">
        <v>400</v>
      </c>
      <c r="E46" s="6">
        <v>700</v>
      </c>
      <c r="F46" s="6" t="s">
        <v>108</v>
      </c>
      <c r="G46" s="6">
        <v>60</v>
      </c>
      <c r="H46" s="6">
        <f t="shared" si="0"/>
        <v>300</v>
      </c>
      <c r="I46" s="6">
        <f>Table38[[#This Row],[Units Sold (Monthly)]]*Table38[[#This Row],[Selling Price (₦)]]</f>
        <v>42000</v>
      </c>
      <c r="J46" s="10">
        <f>Table38[[#This Row],[Units Sold (Monthly)]]*(Table38[[#This Row],[Selling Price (₦)]]-Table38[[#This Row],[Unit Cost (₦)*]])</f>
        <v>18000</v>
      </c>
      <c r="K46" s="7">
        <f>Table38[[#This Row],[Qty]]*Table38[[#This Row],[Unit Cost (₦)*]]</f>
        <v>36000</v>
      </c>
      <c r="L46" s="7">
        <f t="shared" si="1"/>
        <v>30</v>
      </c>
      <c r="M46" s="7" t="str">
        <f t="shared" ca="1" si="2"/>
        <v>OK</v>
      </c>
      <c r="N46" s="7">
        <f>Table38[[#This Row],[Profit per Unit]]*Table38[[#This Row],[Units Sold (Monthly)]]</f>
        <v>18000</v>
      </c>
      <c r="O46" s="7" t="str">
        <f t="shared" si="3"/>
        <v>Apr</v>
      </c>
    </row>
    <row r="47" spans="1:15" x14ac:dyDescent="0.25">
      <c r="A47" s="6" t="s">
        <v>109</v>
      </c>
      <c r="B47" s="6" t="s">
        <v>27</v>
      </c>
      <c r="C47" s="6">
        <v>150</v>
      </c>
      <c r="D47" s="6">
        <v>100</v>
      </c>
      <c r="E47" s="6">
        <v>200</v>
      </c>
      <c r="F47" s="6" t="s">
        <v>110</v>
      </c>
      <c r="G47" s="6">
        <v>130</v>
      </c>
      <c r="H47" s="6">
        <f t="shared" si="0"/>
        <v>100</v>
      </c>
      <c r="I47" s="6">
        <f>Table38[[#This Row],[Units Sold (Monthly)]]*Table38[[#This Row],[Selling Price (₦)]]</f>
        <v>26000</v>
      </c>
      <c r="J47" s="10">
        <f>Table38[[#This Row],[Units Sold (Monthly)]]*(Table38[[#This Row],[Selling Price (₦)]]-Table38[[#This Row],[Unit Cost (₦)*]])</f>
        <v>13000</v>
      </c>
      <c r="K47" s="7">
        <f>Table38[[#This Row],[Qty]]*Table38[[#This Row],[Unit Cost (₦)*]]</f>
        <v>15000</v>
      </c>
      <c r="L47" s="7">
        <f t="shared" si="1"/>
        <v>20</v>
      </c>
      <c r="M47" s="7" t="str">
        <f t="shared" ca="1" si="2"/>
        <v>EXPIRING SOON</v>
      </c>
      <c r="N47" s="7">
        <f>Table38[[#This Row],[Profit per Unit]]*Table38[[#This Row],[Units Sold (Monthly)]]</f>
        <v>13000</v>
      </c>
      <c r="O47" s="7" t="str">
        <f t="shared" si="3"/>
        <v>Aug</v>
      </c>
    </row>
    <row r="48" spans="1:15" x14ac:dyDescent="0.25">
      <c r="A48" s="6" t="s">
        <v>111</v>
      </c>
      <c r="B48" s="6" t="s">
        <v>32</v>
      </c>
      <c r="C48" s="6">
        <v>50</v>
      </c>
      <c r="D48" s="6">
        <v>1100</v>
      </c>
      <c r="E48" s="6">
        <v>1700</v>
      </c>
      <c r="F48" s="6" t="s">
        <v>112</v>
      </c>
      <c r="G48" s="6">
        <v>35</v>
      </c>
      <c r="H48" s="6">
        <f t="shared" si="0"/>
        <v>600</v>
      </c>
      <c r="I48" s="6">
        <f>Table38[[#This Row],[Units Sold (Monthly)]]*Table38[[#This Row],[Selling Price (₦)]]</f>
        <v>59500</v>
      </c>
      <c r="J48" s="10">
        <f>Table38[[#This Row],[Units Sold (Monthly)]]*(Table38[[#This Row],[Selling Price (₦)]]-Table38[[#This Row],[Unit Cost (₦)*]])</f>
        <v>21000</v>
      </c>
      <c r="K48" s="7">
        <f>Table38[[#This Row],[Qty]]*Table38[[#This Row],[Unit Cost (₦)*]]</f>
        <v>55000</v>
      </c>
      <c r="L48" s="7">
        <f t="shared" si="1"/>
        <v>15</v>
      </c>
      <c r="M48" s="7" t="str">
        <f t="shared" ca="1" si="2"/>
        <v>OK</v>
      </c>
      <c r="N48" s="7">
        <f>Table38[[#This Row],[Profit per Unit]]*Table38[[#This Row],[Units Sold (Monthly)]]</f>
        <v>21000</v>
      </c>
      <c r="O48" s="7" t="str">
        <f t="shared" si="3"/>
        <v>Jun</v>
      </c>
    </row>
    <row r="49" spans="1:15" x14ac:dyDescent="0.25">
      <c r="A49" s="6" t="s">
        <v>113</v>
      </c>
      <c r="B49" s="6" t="s">
        <v>46</v>
      </c>
      <c r="C49" s="6">
        <v>80</v>
      </c>
      <c r="D49" s="6">
        <v>450</v>
      </c>
      <c r="E49" s="6">
        <v>800</v>
      </c>
      <c r="F49" s="6" t="s">
        <v>114</v>
      </c>
      <c r="G49" s="6">
        <v>55</v>
      </c>
      <c r="H49" s="6">
        <f t="shared" si="0"/>
        <v>350</v>
      </c>
      <c r="I49" s="6">
        <f>Table38[[#This Row],[Units Sold (Monthly)]]*Table38[[#This Row],[Selling Price (₦)]]</f>
        <v>44000</v>
      </c>
      <c r="J49" s="10">
        <f>Table38[[#This Row],[Units Sold (Monthly)]]*(Table38[[#This Row],[Selling Price (₦)]]-Table38[[#This Row],[Unit Cost (₦)*]])</f>
        <v>19250</v>
      </c>
      <c r="K49" s="7">
        <f>Table38[[#This Row],[Qty]]*Table38[[#This Row],[Unit Cost (₦)*]]</f>
        <v>36000</v>
      </c>
      <c r="L49" s="7">
        <f t="shared" si="1"/>
        <v>25</v>
      </c>
      <c r="M49" s="7" t="str">
        <f t="shared" ca="1" si="2"/>
        <v>OK</v>
      </c>
      <c r="N49" s="7">
        <f>Table38[[#This Row],[Profit per Unit]]*Table38[[#This Row],[Units Sold (Monthly)]]</f>
        <v>19250</v>
      </c>
      <c r="O49" s="7" t="str">
        <f t="shared" si="3"/>
        <v>Sep</v>
      </c>
    </row>
    <row r="50" spans="1:15" x14ac:dyDescent="0.25">
      <c r="A50" s="6" t="s">
        <v>115</v>
      </c>
      <c r="B50" s="6" t="s">
        <v>40</v>
      </c>
      <c r="C50" s="6">
        <v>70</v>
      </c>
      <c r="D50" s="6">
        <v>600</v>
      </c>
      <c r="E50" s="6">
        <v>1000</v>
      </c>
      <c r="F50" s="6" t="s">
        <v>116</v>
      </c>
      <c r="G50" s="6">
        <v>45</v>
      </c>
      <c r="H50" s="6">
        <f t="shared" si="0"/>
        <v>400</v>
      </c>
      <c r="I50" s="6">
        <f>Table38[[#This Row],[Units Sold (Monthly)]]*Table38[[#This Row],[Selling Price (₦)]]</f>
        <v>45000</v>
      </c>
      <c r="J50" s="10">
        <f>Table38[[#This Row],[Units Sold (Monthly)]]*(Table38[[#This Row],[Selling Price (₦)]]-Table38[[#This Row],[Unit Cost (₦)*]])</f>
        <v>18000</v>
      </c>
      <c r="K50" s="7">
        <f>Table38[[#This Row],[Qty]]*Table38[[#This Row],[Unit Cost (₦)*]]</f>
        <v>42000</v>
      </c>
      <c r="L50" s="7">
        <f t="shared" si="1"/>
        <v>25</v>
      </c>
      <c r="M50" s="7" t="str">
        <f t="shared" ca="1" si="2"/>
        <v>EXPIRING SOON</v>
      </c>
      <c r="N50" s="7">
        <f>Table38[[#This Row],[Profit per Unit]]*Table38[[#This Row],[Units Sold (Monthly)]]</f>
        <v>18000</v>
      </c>
      <c r="O50" s="7" t="str">
        <f t="shared" si="3"/>
        <v>Apr</v>
      </c>
    </row>
    <row r="51" spans="1:15" x14ac:dyDescent="0.25">
      <c r="A51" s="6" t="s">
        <v>117</v>
      </c>
      <c r="B51" s="6" t="s">
        <v>7</v>
      </c>
      <c r="C51" s="6">
        <v>100</v>
      </c>
      <c r="D51" s="6">
        <v>300</v>
      </c>
      <c r="E51" s="6">
        <v>500</v>
      </c>
      <c r="F51" s="6" t="s">
        <v>118</v>
      </c>
      <c r="G51" s="6">
        <v>85</v>
      </c>
      <c r="H51" s="6">
        <f t="shared" si="0"/>
        <v>200</v>
      </c>
      <c r="I51" s="6">
        <f>Table38[[#This Row],[Units Sold (Monthly)]]*Table38[[#This Row],[Selling Price (₦)]]</f>
        <v>42500</v>
      </c>
      <c r="J51" s="10">
        <f>Table38[[#This Row],[Units Sold (Monthly)]]*(Table38[[#This Row],[Selling Price (₦)]]-Table38[[#This Row],[Unit Cost (₦)*]])</f>
        <v>17000</v>
      </c>
      <c r="K51" s="7">
        <f>Table38[[#This Row],[Qty]]*Table38[[#This Row],[Unit Cost (₦)*]]</f>
        <v>30000</v>
      </c>
      <c r="L51" s="7">
        <f t="shared" si="1"/>
        <v>15</v>
      </c>
      <c r="M51" s="7" t="str">
        <f t="shared" ca="1" si="2"/>
        <v>EXPIRING SOON</v>
      </c>
      <c r="N51" s="7">
        <f>Table38[[#This Row],[Profit per Unit]]*Table38[[#This Row],[Units Sold (Monthly)]]</f>
        <v>17000</v>
      </c>
      <c r="O51" s="7" t="str">
        <f t="shared" si="3"/>
        <v>Jul</v>
      </c>
    </row>
    <row r="53" spans="1:15" x14ac:dyDescent="0.25">
      <c r="N53">
        <f>SUM(N2:N51)</f>
        <v>862800</v>
      </c>
    </row>
    <row r="54" spans="1:15" x14ac:dyDescent="0.25">
      <c r="D54">
        <f>SUM(D2:D51)</f>
        <v>31120</v>
      </c>
      <c r="G54">
        <f>SUM(G2:G51)</f>
        <v>2865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5"/>
  <sheetViews>
    <sheetView topLeftCell="A4" workbookViewId="0">
      <selection activeCell="H10" sqref="H10"/>
    </sheetView>
  </sheetViews>
  <sheetFormatPr defaultRowHeight="15" x14ac:dyDescent="0.25"/>
  <cols>
    <col min="1" max="1" width="13.140625" bestFit="1" customWidth="1"/>
    <col min="2" max="2" width="9.28515625" customWidth="1"/>
    <col min="4" max="4" width="13.140625" customWidth="1"/>
    <col min="5" max="5" width="10.85546875" customWidth="1"/>
    <col min="6" max="6" width="20.85546875" bestFit="1" customWidth="1"/>
    <col min="7" max="7" width="13.140625" customWidth="1"/>
    <col min="8" max="8" width="11.28515625" customWidth="1"/>
    <col min="10" max="10" width="23.5703125" customWidth="1"/>
    <col min="11" max="11" width="20.28515625" customWidth="1"/>
  </cols>
  <sheetData>
    <row r="3" spans="1:10" x14ac:dyDescent="0.25">
      <c r="A3" s="2" t="s">
        <v>126</v>
      </c>
      <c r="B3" t="s">
        <v>151</v>
      </c>
      <c r="D3" s="2" t="s">
        <v>126</v>
      </c>
      <c r="E3" t="s">
        <v>125</v>
      </c>
      <c r="G3" s="2" t="s">
        <v>126</v>
      </c>
      <c r="H3" t="s">
        <v>133</v>
      </c>
      <c r="J3" s="4" t="s">
        <v>149</v>
      </c>
    </row>
    <row r="4" spans="1:10" x14ac:dyDescent="0.25">
      <c r="A4" s="3" t="s">
        <v>71</v>
      </c>
      <c r="B4" s="1">
        <v>37500</v>
      </c>
      <c r="D4" s="3" t="s">
        <v>83</v>
      </c>
      <c r="E4" s="1">
        <v>20000</v>
      </c>
      <c r="G4" s="3" t="s">
        <v>127</v>
      </c>
      <c r="H4" s="1">
        <v>23</v>
      </c>
      <c r="J4" s="5">
        <v>50</v>
      </c>
    </row>
    <row r="5" spans="1:10" x14ac:dyDescent="0.25">
      <c r="A5" s="3" t="s">
        <v>10</v>
      </c>
      <c r="B5" s="1">
        <v>222250</v>
      </c>
      <c r="D5" s="3" t="s">
        <v>105</v>
      </c>
      <c r="E5" s="1">
        <v>20000</v>
      </c>
      <c r="G5" s="3" t="s">
        <v>128</v>
      </c>
      <c r="H5" s="1">
        <v>27</v>
      </c>
    </row>
    <row r="6" spans="1:10" x14ac:dyDescent="0.25">
      <c r="A6" s="3" t="s">
        <v>32</v>
      </c>
      <c r="B6" s="1">
        <v>145000</v>
      </c>
      <c r="D6" s="3" t="s">
        <v>54</v>
      </c>
      <c r="E6" s="1">
        <v>20000</v>
      </c>
      <c r="G6" s="3" t="s">
        <v>129</v>
      </c>
      <c r="H6" s="1">
        <v>50</v>
      </c>
    </row>
    <row r="7" spans="1:10" x14ac:dyDescent="0.25">
      <c r="A7" s="3" t="s">
        <v>43</v>
      </c>
      <c r="B7" s="1">
        <v>125000</v>
      </c>
      <c r="D7" s="3" t="s">
        <v>20</v>
      </c>
      <c r="E7" s="1">
        <v>45000</v>
      </c>
      <c r="J7" s="4" t="s">
        <v>135</v>
      </c>
    </row>
    <row r="8" spans="1:10" x14ac:dyDescent="0.25">
      <c r="A8" s="3" t="s">
        <v>35</v>
      </c>
      <c r="B8" s="1">
        <v>30000</v>
      </c>
      <c r="D8" s="3" t="s">
        <v>111</v>
      </c>
      <c r="E8" s="1">
        <v>21000</v>
      </c>
      <c r="J8" s="4">
        <v>862800</v>
      </c>
    </row>
    <row r="9" spans="1:10" x14ac:dyDescent="0.25">
      <c r="A9" s="3" t="s">
        <v>46</v>
      </c>
      <c r="B9" s="1">
        <v>115000</v>
      </c>
      <c r="D9" s="3" t="s">
        <v>97</v>
      </c>
      <c r="E9" s="1">
        <v>22500</v>
      </c>
    </row>
    <row r="10" spans="1:10" x14ac:dyDescent="0.25">
      <c r="A10" s="3" t="s">
        <v>24</v>
      </c>
      <c r="B10" s="1">
        <v>55750</v>
      </c>
      <c r="D10" s="3" t="s">
        <v>81</v>
      </c>
      <c r="E10" s="1">
        <v>28000</v>
      </c>
      <c r="G10" s="2" t="s">
        <v>126</v>
      </c>
      <c r="H10" t="s">
        <v>132</v>
      </c>
    </row>
    <row r="11" spans="1:10" x14ac:dyDescent="0.25">
      <c r="A11" s="3" t="s">
        <v>21</v>
      </c>
      <c r="B11" s="1">
        <v>280500</v>
      </c>
      <c r="D11" s="3" t="s">
        <v>42</v>
      </c>
      <c r="E11" s="1">
        <v>20000</v>
      </c>
      <c r="G11" s="3" t="s">
        <v>34</v>
      </c>
      <c r="H11" s="1">
        <v>35</v>
      </c>
      <c r="J11" t="s">
        <v>131</v>
      </c>
    </row>
    <row r="12" spans="1:10" x14ac:dyDescent="0.25">
      <c r="A12" s="3" t="s">
        <v>7</v>
      </c>
      <c r="B12" s="1">
        <v>287500</v>
      </c>
      <c r="D12" s="3" t="s">
        <v>73</v>
      </c>
      <c r="E12" s="1">
        <v>22500</v>
      </c>
      <c r="G12" s="3" t="s">
        <v>39</v>
      </c>
      <c r="H12" s="1">
        <v>35</v>
      </c>
      <c r="J12" s="1">
        <v>2865</v>
      </c>
    </row>
    <row r="13" spans="1:10" x14ac:dyDescent="0.25">
      <c r="A13" s="3" t="s">
        <v>27</v>
      </c>
      <c r="B13" s="1">
        <v>107500</v>
      </c>
      <c r="D13" s="3" t="s">
        <v>93</v>
      </c>
      <c r="E13" s="1">
        <v>24500</v>
      </c>
      <c r="G13" s="3" t="s">
        <v>23</v>
      </c>
      <c r="H13" s="1">
        <v>45</v>
      </c>
    </row>
    <row r="14" spans="1:10" x14ac:dyDescent="0.25">
      <c r="A14" s="3" t="s">
        <v>40</v>
      </c>
      <c r="B14" s="1">
        <v>196000</v>
      </c>
      <c r="D14" s="3" t="s">
        <v>68</v>
      </c>
      <c r="E14" s="1">
        <v>22000</v>
      </c>
      <c r="G14" s="3" t="s">
        <v>56</v>
      </c>
      <c r="H14" s="1">
        <v>30</v>
      </c>
    </row>
    <row r="15" spans="1:10" x14ac:dyDescent="0.25">
      <c r="A15" s="3" t="s">
        <v>13</v>
      </c>
      <c r="B15" s="1">
        <v>320250</v>
      </c>
      <c r="D15" s="3" t="s">
        <v>101</v>
      </c>
      <c r="E15" s="1">
        <v>22000</v>
      </c>
      <c r="G15" s="3" t="s">
        <v>45</v>
      </c>
      <c r="H15" s="1">
        <v>35</v>
      </c>
      <c r="J15" s="4" t="s">
        <v>130</v>
      </c>
    </row>
    <row r="16" spans="1:10" x14ac:dyDescent="0.25">
      <c r="A16" s="3" t="s">
        <v>18</v>
      </c>
      <c r="B16" s="1">
        <v>171000</v>
      </c>
      <c r="D16" s="3" t="s">
        <v>103</v>
      </c>
      <c r="E16" s="1">
        <v>20000</v>
      </c>
      <c r="G16" s="3" t="s">
        <v>29</v>
      </c>
      <c r="H16" s="1">
        <v>55</v>
      </c>
      <c r="J16" s="4">
        <v>31120</v>
      </c>
    </row>
    <row r="17" spans="1:8" x14ac:dyDescent="0.25">
      <c r="A17" s="3" t="s">
        <v>129</v>
      </c>
      <c r="B17" s="1">
        <v>2093250</v>
      </c>
      <c r="D17" s="3" t="s">
        <v>129</v>
      </c>
      <c r="E17" s="1">
        <v>307500</v>
      </c>
      <c r="G17" s="3" t="s">
        <v>91</v>
      </c>
      <c r="H17" s="1">
        <v>30</v>
      </c>
    </row>
    <row r="18" spans="1:8" x14ac:dyDescent="0.25">
      <c r="G18" s="3" t="s">
        <v>66</v>
      </c>
      <c r="H18" s="1">
        <v>30</v>
      </c>
    </row>
    <row r="19" spans="1:8" x14ac:dyDescent="0.25">
      <c r="B19" s="8"/>
      <c r="G19" s="3" t="s">
        <v>26</v>
      </c>
      <c r="H19" s="1">
        <v>30</v>
      </c>
    </row>
    <row r="20" spans="1:8" x14ac:dyDescent="0.25">
      <c r="D20" s="2" t="s">
        <v>126</v>
      </c>
      <c r="E20" t="s">
        <v>125</v>
      </c>
      <c r="G20" s="3" t="s">
        <v>6</v>
      </c>
      <c r="H20" s="1">
        <v>40</v>
      </c>
    </row>
    <row r="21" spans="1:8" x14ac:dyDescent="0.25">
      <c r="D21" s="3">
        <v>8000</v>
      </c>
      <c r="E21" s="1">
        <v>8000</v>
      </c>
      <c r="G21" s="3" t="s">
        <v>107</v>
      </c>
      <c r="H21" s="1">
        <v>30</v>
      </c>
    </row>
    <row r="22" spans="1:8" x14ac:dyDescent="0.25">
      <c r="D22" s="3">
        <v>10500</v>
      </c>
      <c r="E22" s="1">
        <v>10500</v>
      </c>
      <c r="G22" s="3" t="s">
        <v>62</v>
      </c>
      <c r="H22" s="1">
        <v>30</v>
      </c>
    </row>
    <row r="23" spans="1:8" x14ac:dyDescent="0.25">
      <c r="D23" s="3">
        <v>12000</v>
      </c>
      <c r="E23" s="1">
        <v>48000</v>
      </c>
      <c r="G23" s="3" t="s">
        <v>52</v>
      </c>
      <c r="H23" s="1">
        <v>30</v>
      </c>
    </row>
    <row r="24" spans="1:8" x14ac:dyDescent="0.25">
      <c r="D24" s="3">
        <v>12750</v>
      </c>
      <c r="E24" s="1">
        <v>12750</v>
      </c>
      <c r="G24" s="3" t="s">
        <v>12</v>
      </c>
      <c r="H24" s="1">
        <v>50</v>
      </c>
    </row>
    <row r="25" spans="1:8" x14ac:dyDescent="0.25">
      <c r="D25" s="3">
        <v>13000</v>
      </c>
      <c r="E25" s="1">
        <v>26000</v>
      </c>
      <c r="G25" s="3" t="s">
        <v>48</v>
      </c>
      <c r="H25" s="1">
        <v>30</v>
      </c>
    </row>
    <row r="26" spans="1:8" x14ac:dyDescent="0.25">
      <c r="D26" s="3">
        <v>13500</v>
      </c>
      <c r="E26" s="1">
        <v>13500</v>
      </c>
      <c r="G26" s="3" t="s">
        <v>129</v>
      </c>
      <c r="H26" s="1">
        <v>535</v>
      </c>
    </row>
    <row r="27" spans="1:8" x14ac:dyDescent="0.25">
      <c r="D27" s="3">
        <v>14000</v>
      </c>
      <c r="E27" s="1">
        <v>42000</v>
      </c>
    </row>
    <row r="28" spans="1:8" x14ac:dyDescent="0.25">
      <c r="D28" s="3">
        <v>14250</v>
      </c>
      <c r="E28" s="1">
        <v>14250</v>
      </c>
    </row>
    <row r="29" spans="1:8" x14ac:dyDescent="0.25">
      <c r="D29" s="3">
        <v>14300</v>
      </c>
      <c r="E29" s="1">
        <v>14300</v>
      </c>
    </row>
    <row r="30" spans="1:8" x14ac:dyDescent="0.25">
      <c r="D30" s="3">
        <v>15000</v>
      </c>
      <c r="E30" s="1">
        <v>120000</v>
      </c>
      <c r="G30" s="2" t="s">
        <v>126</v>
      </c>
      <c r="H30" t="s">
        <v>150</v>
      </c>
    </row>
    <row r="31" spans="1:8" x14ac:dyDescent="0.25">
      <c r="D31" s="3">
        <v>15750</v>
      </c>
      <c r="E31" s="1">
        <v>31500</v>
      </c>
      <c r="G31" s="3" t="s">
        <v>141</v>
      </c>
      <c r="H31" s="1">
        <v>158750</v>
      </c>
    </row>
    <row r="32" spans="1:8" x14ac:dyDescent="0.25">
      <c r="D32" s="3">
        <v>16000</v>
      </c>
      <c r="E32" s="1">
        <v>32000</v>
      </c>
      <c r="G32" s="3" t="s">
        <v>140</v>
      </c>
      <c r="H32" s="1">
        <v>45800</v>
      </c>
    </row>
    <row r="33" spans="4:8" x14ac:dyDescent="0.25">
      <c r="D33" s="3">
        <v>17000</v>
      </c>
      <c r="E33" s="1">
        <v>17000</v>
      </c>
      <c r="G33" s="3" t="s">
        <v>144</v>
      </c>
      <c r="H33" s="1">
        <v>89000</v>
      </c>
    </row>
    <row r="34" spans="4:8" x14ac:dyDescent="0.25">
      <c r="D34" s="3">
        <v>17500</v>
      </c>
      <c r="E34" s="1">
        <v>17500</v>
      </c>
      <c r="G34" s="3" t="s">
        <v>137</v>
      </c>
      <c r="H34" s="1">
        <v>132000</v>
      </c>
    </row>
    <row r="35" spans="4:8" x14ac:dyDescent="0.25">
      <c r="D35" s="3">
        <v>18000</v>
      </c>
      <c r="E35" s="1">
        <v>90000</v>
      </c>
      <c r="G35" s="3" t="s">
        <v>145</v>
      </c>
      <c r="H35" s="1">
        <v>19500</v>
      </c>
    </row>
    <row r="36" spans="4:8" x14ac:dyDescent="0.25">
      <c r="D36" s="3">
        <v>19250</v>
      </c>
      <c r="E36" s="1">
        <v>38500</v>
      </c>
      <c r="G36" s="3" t="s">
        <v>143</v>
      </c>
      <c r="H36" s="1">
        <v>21000</v>
      </c>
    </row>
    <row r="37" spans="4:8" x14ac:dyDescent="0.25">
      <c r="D37" s="3">
        <v>19500</v>
      </c>
      <c r="E37" s="1">
        <v>19500</v>
      </c>
      <c r="G37" s="3" t="s">
        <v>142</v>
      </c>
      <c r="H37" s="1">
        <v>17000</v>
      </c>
    </row>
    <row r="38" spans="4:8" x14ac:dyDescent="0.25">
      <c r="D38" s="3">
        <v>20000</v>
      </c>
      <c r="E38" s="1">
        <v>100000</v>
      </c>
      <c r="G38" s="3" t="s">
        <v>138</v>
      </c>
      <c r="H38" s="1">
        <v>99000</v>
      </c>
    </row>
    <row r="39" spans="4:8" x14ac:dyDescent="0.25">
      <c r="D39" s="3">
        <v>21000</v>
      </c>
      <c r="E39" s="1">
        <v>21000</v>
      </c>
      <c r="G39" s="3" t="s">
        <v>148</v>
      </c>
      <c r="H39" s="1">
        <v>49000</v>
      </c>
    </row>
    <row r="40" spans="4:8" x14ac:dyDescent="0.25">
      <c r="D40" s="3">
        <v>22000</v>
      </c>
      <c r="E40" s="1">
        <v>44000</v>
      </c>
      <c r="G40" s="3" t="s">
        <v>147</v>
      </c>
      <c r="H40" s="1">
        <v>132000</v>
      </c>
    </row>
    <row r="41" spans="4:8" x14ac:dyDescent="0.25">
      <c r="D41" s="3">
        <v>22500</v>
      </c>
      <c r="E41" s="1">
        <v>45000</v>
      </c>
      <c r="G41" s="3" t="s">
        <v>146</v>
      </c>
      <c r="H41" s="1">
        <v>86250</v>
      </c>
    </row>
    <row r="42" spans="4:8" x14ac:dyDescent="0.25">
      <c r="D42" s="3">
        <v>24500</v>
      </c>
      <c r="E42" s="1">
        <v>24500</v>
      </c>
      <c r="G42" s="3" t="s">
        <v>139</v>
      </c>
      <c r="H42" s="1">
        <v>13500</v>
      </c>
    </row>
    <row r="43" spans="4:8" x14ac:dyDescent="0.25">
      <c r="D43" s="3">
        <v>28000</v>
      </c>
      <c r="E43" s="1">
        <v>28000</v>
      </c>
      <c r="G43" s="3" t="s">
        <v>129</v>
      </c>
      <c r="H43" s="1">
        <v>862800</v>
      </c>
    </row>
    <row r="44" spans="4:8" x14ac:dyDescent="0.25">
      <c r="D44" s="3">
        <v>45000</v>
      </c>
      <c r="E44" s="1">
        <v>45000</v>
      </c>
    </row>
    <row r="45" spans="4:8" x14ac:dyDescent="0.25">
      <c r="D45" s="3" t="s">
        <v>129</v>
      </c>
      <c r="E45" s="1">
        <v>862800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opLeftCell="C1" zoomScale="96" zoomScaleNormal="96" workbookViewId="0">
      <selection activeCell="O2" sqref="O2"/>
    </sheetView>
  </sheetViews>
  <sheetFormatPr defaultRowHeight="15" x14ac:dyDescent="0.25"/>
  <cols>
    <col min="1" max="1" width="18.7109375" customWidth="1"/>
    <col min="2" max="2" width="12.85546875" customWidth="1"/>
    <col min="4" max="4" width="14.5703125" customWidth="1"/>
    <col min="5" max="5" width="17.28515625" customWidth="1"/>
    <col min="6" max="6" width="16" customWidth="1"/>
    <col min="7" max="7" width="21.5703125" customWidth="1"/>
    <col min="8" max="8" width="14.5703125" customWidth="1"/>
    <col min="9" max="9" width="15.5703125" customWidth="1"/>
    <col min="10" max="10" width="18" style="9" customWidth="1"/>
    <col min="11" max="11" width="15.28515625" customWidth="1"/>
    <col min="12" max="12" width="21.5703125" customWidth="1"/>
    <col min="13" max="13" width="18" customWidth="1"/>
    <col min="14" max="14" width="16.42578125" customWidth="1"/>
  </cols>
  <sheetData>
    <row r="1" spans="1:15" x14ac:dyDescent="0.25">
      <c r="A1" t="s">
        <v>0</v>
      </c>
      <c r="B1" t="s">
        <v>1</v>
      </c>
      <c r="C1" t="s">
        <v>2</v>
      </c>
      <c r="D1" t="s">
        <v>119</v>
      </c>
      <c r="E1" t="s">
        <v>3</v>
      </c>
      <c r="F1" t="s">
        <v>4</v>
      </c>
      <c r="G1" t="s">
        <v>5</v>
      </c>
      <c r="H1" t="s">
        <v>134</v>
      </c>
      <c r="I1" t="s">
        <v>120</v>
      </c>
      <c r="J1" s="9" t="s">
        <v>121</v>
      </c>
      <c r="K1" t="s">
        <v>122</v>
      </c>
      <c r="L1" t="s">
        <v>123</v>
      </c>
      <c r="M1" t="s">
        <v>124</v>
      </c>
      <c r="N1" t="s">
        <v>125</v>
      </c>
      <c r="O1" t="s">
        <v>136</v>
      </c>
    </row>
    <row r="2" spans="1:15" x14ac:dyDescent="0.25">
      <c r="A2" s="6" t="s">
        <v>6</v>
      </c>
      <c r="B2" s="6" t="s">
        <v>7</v>
      </c>
      <c r="C2" s="6">
        <v>120</v>
      </c>
      <c r="D2" s="6">
        <v>200</v>
      </c>
      <c r="E2" s="6">
        <v>300</v>
      </c>
      <c r="F2" s="6" t="s">
        <v>8</v>
      </c>
      <c r="G2" s="6">
        <v>80</v>
      </c>
      <c r="H2" s="6">
        <f t="shared" ref="H2:H33" si="0">E2-D2</f>
        <v>100</v>
      </c>
      <c r="I2" s="6">
        <f>Table3[[#This Row],[Units Sold (Monthly)]]*Table3[[#This Row],[Selling Price (₦)]]</f>
        <v>24000</v>
      </c>
      <c r="J2" s="10">
        <f>Table3[[#This Row],[Units Sold (Monthly)]]*(Table3[[#This Row],[Selling Price (₦)]]-Table3[[#This Row],[Unit Cost (₦)*]])</f>
        <v>8000</v>
      </c>
      <c r="K2" s="7">
        <f>Table3[[#This Row],[Qty]]*Table3[[#This Row],[Unit Cost (₦)*]]</f>
        <v>24000</v>
      </c>
      <c r="L2" s="7">
        <f t="shared" ref="L2:L33" si="1">C2-G2</f>
        <v>40</v>
      </c>
      <c r="M2" s="7" t="str">
        <f t="shared" ref="M2:M33" ca="1" si="2">IF(F2-TODAY()&lt;=90,"EXPIRING SOON","OK")</f>
        <v>EXPIRING SOON</v>
      </c>
      <c r="N2" s="7">
        <f>Table3[[#This Row],[Profit per Unit]]*Table3[[#This Row],[Units Sold (Monthly)]]</f>
        <v>8000</v>
      </c>
      <c r="O2" s="7" t="str">
        <f t="shared" ref="O2:O33" si="3">TEXT(J2,"MMM")</f>
        <v>Nov</v>
      </c>
    </row>
    <row r="3" spans="1:15" x14ac:dyDescent="0.25">
      <c r="A3" s="6" t="s">
        <v>9</v>
      </c>
      <c r="B3" s="6" t="s">
        <v>10</v>
      </c>
      <c r="C3" s="6">
        <v>60</v>
      </c>
      <c r="D3" s="6">
        <v>500</v>
      </c>
      <c r="E3" s="6">
        <v>800</v>
      </c>
      <c r="F3" s="6" t="s">
        <v>11</v>
      </c>
      <c r="G3" s="6">
        <v>50</v>
      </c>
      <c r="H3" s="6">
        <f t="shared" si="0"/>
        <v>300</v>
      </c>
      <c r="I3" s="6">
        <f>Table3[[#This Row],[Units Sold (Monthly)]]*Table3[[#This Row],[Selling Price (₦)]]</f>
        <v>40000</v>
      </c>
      <c r="J3" s="10">
        <f>Table3[[#This Row],[Units Sold (Monthly)]]*(Table3[[#This Row],[Selling Price (₦)]]-Table3[[#This Row],[Unit Cost (₦)*]])</f>
        <v>15000</v>
      </c>
      <c r="K3" s="7">
        <f>Table3[[#This Row],[Qty]]*Table3[[#This Row],[Unit Cost (₦)*]]</f>
        <v>30000</v>
      </c>
      <c r="L3" s="7">
        <f t="shared" si="1"/>
        <v>10</v>
      </c>
      <c r="M3" s="7" t="str">
        <f t="shared" ca="1" si="2"/>
        <v>EXPIRING SOON</v>
      </c>
      <c r="N3" s="7">
        <f>Table3[[#This Row],[Profit per Unit]]*Table3[[#This Row],[Units Sold (Monthly)]]</f>
        <v>15000</v>
      </c>
      <c r="O3" s="7" t="str">
        <f t="shared" si="3"/>
        <v>Jan</v>
      </c>
    </row>
    <row r="4" spans="1:15" x14ac:dyDescent="0.25">
      <c r="A4" s="6" t="s">
        <v>12</v>
      </c>
      <c r="B4" s="6" t="s">
        <v>13</v>
      </c>
      <c r="C4" s="6">
        <v>90</v>
      </c>
      <c r="D4" s="6">
        <v>300</v>
      </c>
      <c r="E4" s="6">
        <v>600</v>
      </c>
      <c r="F4" s="6" t="s">
        <v>14</v>
      </c>
      <c r="G4" s="6">
        <v>40</v>
      </c>
      <c r="H4" s="6">
        <f t="shared" si="0"/>
        <v>300</v>
      </c>
      <c r="I4" s="6">
        <f>Table3[[#This Row],[Units Sold (Monthly)]]*Table3[[#This Row],[Selling Price (₦)]]</f>
        <v>24000</v>
      </c>
      <c r="J4" s="10">
        <f>Table3[[#This Row],[Units Sold (Monthly)]]*(Table3[[#This Row],[Selling Price (₦)]]-Table3[[#This Row],[Unit Cost (₦)*]])</f>
        <v>12000</v>
      </c>
      <c r="K4" s="7">
        <f>Table3[[#This Row],[Qty]]*Table3[[#This Row],[Unit Cost (₦)*]]</f>
        <v>27000</v>
      </c>
      <c r="L4" s="7">
        <f t="shared" si="1"/>
        <v>50</v>
      </c>
      <c r="M4" s="7" t="str">
        <f t="shared" ca="1" si="2"/>
        <v>OK</v>
      </c>
      <c r="N4" s="7">
        <f>Table3[[#This Row],[Profit per Unit]]*Table3[[#This Row],[Units Sold (Monthly)]]</f>
        <v>12000</v>
      </c>
      <c r="O4" s="7" t="str">
        <f t="shared" si="3"/>
        <v>Nov</v>
      </c>
    </row>
    <row r="5" spans="1:15" x14ac:dyDescent="0.25">
      <c r="A5" s="6" t="s">
        <v>15</v>
      </c>
      <c r="B5" s="6" t="s">
        <v>7</v>
      </c>
      <c r="C5" s="6">
        <v>70</v>
      </c>
      <c r="D5" s="6">
        <v>250</v>
      </c>
      <c r="E5" s="6">
        <v>450</v>
      </c>
      <c r="F5" s="6" t="s">
        <v>16</v>
      </c>
      <c r="G5" s="6">
        <v>65</v>
      </c>
      <c r="H5" s="6">
        <f t="shared" si="0"/>
        <v>200</v>
      </c>
      <c r="I5" s="6">
        <f>Table3[[#This Row],[Units Sold (Monthly)]]*Table3[[#This Row],[Selling Price (₦)]]</f>
        <v>29250</v>
      </c>
      <c r="J5" s="10">
        <f>Table3[[#This Row],[Units Sold (Monthly)]]*(Table3[[#This Row],[Selling Price (₦)]]-Table3[[#This Row],[Unit Cost (₦)*]])</f>
        <v>13000</v>
      </c>
      <c r="K5" s="7">
        <f>Table3[[#This Row],[Qty]]*Table3[[#This Row],[Unit Cost (₦)*]]</f>
        <v>17500</v>
      </c>
      <c r="L5" s="7">
        <f t="shared" si="1"/>
        <v>5</v>
      </c>
      <c r="M5" s="7" t="str">
        <f t="shared" ca="1" si="2"/>
        <v>EXPIRING SOON</v>
      </c>
      <c r="N5" s="7">
        <f>Table3[[#This Row],[Profit per Unit]]*Table3[[#This Row],[Units Sold (Monthly)]]</f>
        <v>13000</v>
      </c>
      <c r="O5" s="7" t="str">
        <f t="shared" si="3"/>
        <v>Aug</v>
      </c>
    </row>
    <row r="6" spans="1:15" x14ac:dyDescent="0.25">
      <c r="A6" s="6" t="s">
        <v>17</v>
      </c>
      <c r="B6" s="6" t="s">
        <v>18</v>
      </c>
      <c r="C6" s="6">
        <v>50</v>
      </c>
      <c r="D6" s="6">
        <v>600</v>
      </c>
      <c r="E6" s="6">
        <v>1000</v>
      </c>
      <c r="F6" s="6" t="s">
        <v>19</v>
      </c>
      <c r="G6" s="6">
        <v>30</v>
      </c>
      <c r="H6" s="6">
        <f t="shared" si="0"/>
        <v>400</v>
      </c>
      <c r="I6" s="6">
        <f>Table3[[#This Row],[Units Sold (Monthly)]]*Table3[[#This Row],[Selling Price (₦)]]</f>
        <v>30000</v>
      </c>
      <c r="J6" s="10">
        <f>Table3[[#This Row],[Units Sold (Monthly)]]*(Table3[[#This Row],[Selling Price (₦)]]-Table3[[#This Row],[Unit Cost (₦)*]])</f>
        <v>12000</v>
      </c>
      <c r="K6" s="7">
        <f>Table3[[#This Row],[Qty]]*Table3[[#This Row],[Unit Cost (₦)*]]</f>
        <v>30000</v>
      </c>
      <c r="L6" s="7">
        <f t="shared" si="1"/>
        <v>20</v>
      </c>
      <c r="M6" s="7" t="str">
        <f t="shared" ca="1" si="2"/>
        <v>EXPIRING SOON</v>
      </c>
      <c r="N6" s="7">
        <f>Table3[[#This Row],[Profit per Unit]]*Table3[[#This Row],[Units Sold (Monthly)]]</f>
        <v>12000</v>
      </c>
      <c r="O6" s="7" t="str">
        <f t="shared" si="3"/>
        <v>Nov</v>
      </c>
    </row>
    <row r="7" spans="1:15" x14ac:dyDescent="0.25">
      <c r="A7" s="6" t="s">
        <v>20</v>
      </c>
      <c r="B7" s="6" t="s">
        <v>21</v>
      </c>
      <c r="C7" s="6">
        <v>100</v>
      </c>
      <c r="D7" s="6">
        <v>700</v>
      </c>
      <c r="E7" s="6">
        <v>1200</v>
      </c>
      <c r="F7" s="6" t="s">
        <v>22</v>
      </c>
      <c r="G7" s="6">
        <v>90</v>
      </c>
      <c r="H7" s="6">
        <f t="shared" si="0"/>
        <v>500</v>
      </c>
      <c r="I7" s="6">
        <f>Table3[[#This Row],[Units Sold (Monthly)]]*Table3[[#This Row],[Selling Price (₦)]]</f>
        <v>108000</v>
      </c>
      <c r="J7" s="10">
        <f>Table3[[#This Row],[Units Sold (Monthly)]]*(Table3[[#This Row],[Selling Price (₦)]]-Table3[[#This Row],[Unit Cost (₦)*]])</f>
        <v>45000</v>
      </c>
      <c r="K7" s="7">
        <f>Table3[[#This Row],[Qty]]*Table3[[#This Row],[Unit Cost (₦)*]]</f>
        <v>70000</v>
      </c>
      <c r="L7" s="7">
        <f t="shared" si="1"/>
        <v>10</v>
      </c>
      <c r="M7" s="7" t="str">
        <f t="shared" ca="1" si="2"/>
        <v>OK</v>
      </c>
      <c r="N7" s="7">
        <f>Table3[[#This Row],[Profit per Unit]]*Table3[[#This Row],[Units Sold (Monthly)]]</f>
        <v>45000</v>
      </c>
      <c r="O7" s="7" t="str">
        <f t="shared" si="3"/>
        <v>Mar</v>
      </c>
    </row>
    <row r="8" spans="1:15" x14ac:dyDescent="0.25">
      <c r="A8" s="6" t="s">
        <v>23</v>
      </c>
      <c r="B8" s="6" t="s">
        <v>24</v>
      </c>
      <c r="C8" s="6">
        <v>80</v>
      </c>
      <c r="D8" s="6">
        <v>350</v>
      </c>
      <c r="E8" s="6">
        <v>650</v>
      </c>
      <c r="F8" s="6" t="s">
        <v>25</v>
      </c>
      <c r="G8" s="6">
        <v>35</v>
      </c>
      <c r="H8" s="6">
        <f t="shared" si="0"/>
        <v>300</v>
      </c>
      <c r="I8" s="6">
        <f>Table3[[#This Row],[Units Sold (Monthly)]]*Table3[[#This Row],[Selling Price (₦)]]</f>
        <v>22750</v>
      </c>
      <c r="J8" s="10">
        <f>Table3[[#This Row],[Units Sold (Monthly)]]*(Table3[[#This Row],[Selling Price (₦)]]-Table3[[#This Row],[Unit Cost (₦)*]])</f>
        <v>10500</v>
      </c>
      <c r="K8" s="7">
        <f>Table3[[#This Row],[Qty]]*Table3[[#This Row],[Unit Cost (₦)*]]</f>
        <v>28000</v>
      </c>
      <c r="L8" s="7">
        <f t="shared" si="1"/>
        <v>45</v>
      </c>
      <c r="M8" s="7" t="str">
        <f t="shared" ca="1" si="2"/>
        <v>OK</v>
      </c>
      <c r="N8" s="7">
        <f>Table3[[#This Row],[Profit per Unit]]*Table3[[#This Row],[Units Sold (Monthly)]]</f>
        <v>10500</v>
      </c>
      <c r="O8" s="7" t="str">
        <f t="shared" si="3"/>
        <v>Sep</v>
      </c>
    </row>
    <row r="9" spans="1:15" x14ac:dyDescent="0.25">
      <c r="A9" s="6" t="s">
        <v>26</v>
      </c>
      <c r="B9" s="6" t="s">
        <v>27</v>
      </c>
      <c r="C9" s="6">
        <v>150</v>
      </c>
      <c r="D9" s="6">
        <v>100</v>
      </c>
      <c r="E9" s="6">
        <v>200</v>
      </c>
      <c r="F9" s="6" t="s">
        <v>28</v>
      </c>
      <c r="G9" s="6">
        <v>120</v>
      </c>
      <c r="H9" s="6">
        <f t="shared" si="0"/>
        <v>100</v>
      </c>
      <c r="I9" s="6">
        <f>Table3[[#This Row],[Units Sold (Monthly)]]*Table3[[#This Row],[Selling Price (₦)]]</f>
        <v>24000</v>
      </c>
      <c r="J9" s="10">
        <f>Table3[[#This Row],[Units Sold (Monthly)]]*(Table3[[#This Row],[Selling Price (₦)]]-Table3[[#This Row],[Unit Cost (₦)*]])</f>
        <v>12000</v>
      </c>
      <c r="K9" s="7">
        <f>Table3[[#This Row],[Qty]]*Table3[[#This Row],[Unit Cost (₦)*]]</f>
        <v>15000</v>
      </c>
      <c r="L9" s="7">
        <f t="shared" si="1"/>
        <v>30</v>
      </c>
      <c r="M9" s="7" t="str">
        <f t="shared" ca="1" si="2"/>
        <v>EXPIRING SOON</v>
      </c>
      <c r="N9" s="7">
        <f>Table3[[#This Row],[Profit per Unit]]*Table3[[#This Row],[Units Sold (Monthly)]]</f>
        <v>12000</v>
      </c>
      <c r="O9" s="7" t="str">
        <f t="shared" si="3"/>
        <v>Nov</v>
      </c>
    </row>
    <row r="10" spans="1:15" x14ac:dyDescent="0.25">
      <c r="A10" s="6" t="s">
        <v>29</v>
      </c>
      <c r="B10" s="6" t="s">
        <v>13</v>
      </c>
      <c r="C10" s="6">
        <v>110</v>
      </c>
      <c r="D10" s="6">
        <v>400</v>
      </c>
      <c r="E10" s="6">
        <v>750</v>
      </c>
      <c r="F10" s="6" t="s">
        <v>30</v>
      </c>
      <c r="G10" s="6">
        <v>55</v>
      </c>
      <c r="H10" s="6">
        <f t="shared" si="0"/>
        <v>350</v>
      </c>
      <c r="I10" s="6">
        <f>Table3[[#This Row],[Units Sold (Monthly)]]*Table3[[#This Row],[Selling Price (₦)]]</f>
        <v>41250</v>
      </c>
      <c r="J10" s="10">
        <f>Table3[[#This Row],[Units Sold (Monthly)]]*(Table3[[#This Row],[Selling Price (₦)]]-Table3[[#This Row],[Unit Cost (₦)*]])</f>
        <v>19250</v>
      </c>
      <c r="K10" s="7">
        <f>Table3[[#This Row],[Qty]]*Table3[[#This Row],[Unit Cost (₦)*]]</f>
        <v>44000</v>
      </c>
      <c r="L10" s="7">
        <f t="shared" si="1"/>
        <v>55</v>
      </c>
      <c r="M10" s="7" t="str">
        <f t="shared" ca="1" si="2"/>
        <v>OK</v>
      </c>
      <c r="N10" s="7">
        <f>Table3[[#This Row],[Profit per Unit]]*Table3[[#This Row],[Units Sold (Monthly)]]</f>
        <v>19250</v>
      </c>
      <c r="O10" s="7" t="str">
        <f t="shared" si="3"/>
        <v>Sep</v>
      </c>
    </row>
    <row r="11" spans="1:15" x14ac:dyDescent="0.25">
      <c r="A11" s="6" t="s">
        <v>31</v>
      </c>
      <c r="B11" s="6" t="s">
        <v>32</v>
      </c>
      <c r="C11" s="6">
        <v>40</v>
      </c>
      <c r="D11" s="6">
        <v>900</v>
      </c>
      <c r="E11" s="6">
        <v>1500</v>
      </c>
      <c r="F11" s="6" t="s">
        <v>33</v>
      </c>
      <c r="G11" s="6">
        <v>25</v>
      </c>
      <c r="H11" s="6">
        <f t="shared" si="0"/>
        <v>600</v>
      </c>
      <c r="I11" s="6">
        <f>Table3[[#This Row],[Units Sold (Monthly)]]*Table3[[#This Row],[Selling Price (₦)]]</f>
        <v>37500</v>
      </c>
      <c r="J11" s="10">
        <f>Table3[[#This Row],[Units Sold (Monthly)]]*(Table3[[#This Row],[Selling Price (₦)]]-Table3[[#This Row],[Unit Cost (₦)*]])</f>
        <v>15000</v>
      </c>
      <c r="K11" s="7">
        <f>Table3[[#This Row],[Qty]]*Table3[[#This Row],[Unit Cost (₦)*]]</f>
        <v>36000</v>
      </c>
      <c r="L11" s="7">
        <f t="shared" si="1"/>
        <v>15</v>
      </c>
      <c r="M11" s="7" t="str">
        <f t="shared" ca="1" si="2"/>
        <v>OK</v>
      </c>
      <c r="N11" s="7">
        <f>Table3[[#This Row],[Profit per Unit]]*Table3[[#This Row],[Units Sold (Monthly)]]</f>
        <v>15000</v>
      </c>
      <c r="O11" s="7" t="str">
        <f t="shared" si="3"/>
        <v>Jan</v>
      </c>
    </row>
    <row r="12" spans="1:15" x14ac:dyDescent="0.25">
      <c r="A12" s="6" t="s">
        <v>34</v>
      </c>
      <c r="B12" s="6" t="s">
        <v>35</v>
      </c>
      <c r="C12" s="6">
        <v>95</v>
      </c>
      <c r="D12" s="6">
        <v>300</v>
      </c>
      <c r="E12" s="6">
        <v>500</v>
      </c>
      <c r="F12" s="6" t="s">
        <v>36</v>
      </c>
      <c r="G12" s="6">
        <v>60</v>
      </c>
      <c r="H12" s="6">
        <f t="shared" si="0"/>
        <v>200</v>
      </c>
      <c r="I12" s="6">
        <f>Table3[[#This Row],[Units Sold (Monthly)]]*Table3[[#This Row],[Selling Price (₦)]]</f>
        <v>30000</v>
      </c>
      <c r="J12" s="10">
        <f>Table3[[#This Row],[Units Sold (Monthly)]]*(Table3[[#This Row],[Selling Price (₦)]]-Table3[[#This Row],[Unit Cost (₦)*]])</f>
        <v>12000</v>
      </c>
      <c r="K12" s="7">
        <f>Table3[[#This Row],[Qty]]*Table3[[#This Row],[Unit Cost (₦)*]]</f>
        <v>28500</v>
      </c>
      <c r="L12" s="7">
        <f t="shared" si="1"/>
        <v>35</v>
      </c>
      <c r="M12" s="7" t="str">
        <f t="shared" ca="1" si="2"/>
        <v>OK</v>
      </c>
      <c r="N12" s="7">
        <f>Table3[[#This Row],[Profit per Unit]]*Table3[[#This Row],[Units Sold (Monthly)]]</f>
        <v>12000</v>
      </c>
      <c r="O12" s="7" t="str">
        <f t="shared" si="3"/>
        <v>Nov</v>
      </c>
    </row>
    <row r="13" spans="1:15" x14ac:dyDescent="0.25">
      <c r="A13" s="6" t="s">
        <v>37</v>
      </c>
      <c r="B13" s="6" t="s">
        <v>7</v>
      </c>
      <c r="C13" s="6">
        <v>65</v>
      </c>
      <c r="D13" s="6">
        <v>450</v>
      </c>
      <c r="E13" s="6">
        <v>800</v>
      </c>
      <c r="F13" s="6" t="s">
        <v>38</v>
      </c>
      <c r="G13" s="6">
        <v>45</v>
      </c>
      <c r="H13" s="6">
        <f t="shared" si="0"/>
        <v>350</v>
      </c>
      <c r="I13" s="6">
        <f>Table3[[#This Row],[Units Sold (Monthly)]]*Table3[[#This Row],[Selling Price (₦)]]</f>
        <v>36000</v>
      </c>
      <c r="J13" s="10">
        <f>Table3[[#This Row],[Units Sold (Monthly)]]*(Table3[[#This Row],[Selling Price (₦)]]-Table3[[#This Row],[Unit Cost (₦)*]])</f>
        <v>15750</v>
      </c>
      <c r="K13" s="7">
        <f>Table3[[#This Row],[Qty]]*Table3[[#This Row],[Unit Cost (₦)*]]</f>
        <v>29250</v>
      </c>
      <c r="L13" s="7">
        <f t="shared" si="1"/>
        <v>20</v>
      </c>
      <c r="M13" s="7" t="str">
        <f t="shared" ca="1" si="2"/>
        <v>OK</v>
      </c>
      <c r="N13" s="7">
        <f>Table3[[#This Row],[Profit per Unit]]*Table3[[#This Row],[Units Sold (Monthly)]]</f>
        <v>15750</v>
      </c>
      <c r="O13" s="7" t="str">
        <f t="shared" si="3"/>
        <v>Feb</v>
      </c>
    </row>
    <row r="14" spans="1:15" x14ac:dyDescent="0.25">
      <c r="A14" s="6" t="s">
        <v>39</v>
      </c>
      <c r="B14" s="6" t="s">
        <v>40</v>
      </c>
      <c r="C14" s="6">
        <v>75</v>
      </c>
      <c r="D14" s="6">
        <v>500</v>
      </c>
      <c r="E14" s="6">
        <v>900</v>
      </c>
      <c r="F14" s="6" t="s">
        <v>41</v>
      </c>
      <c r="G14" s="6">
        <v>40</v>
      </c>
      <c r="H14" s="6">
        <f t="shared" si="0"/>
        <v>400</v>
      </c>
      <c r="I14" s="6">
        <f>Table3[[#This Row],[Units Sold (Monthly)]]*Table3[[#This Row],[Selling Price (₦)]]</f>
        <v>36000</v>
      </c>
      <c r="J14" s="10">
        <f>Table3[[#This Row],[Units Sold (Monthly)]]*(Table3[[#This Row],[Selling Price (₦)]]-Table3[[#This Row],[Unit Cost (₦)*]])</f>
        <v>16000</v>
      </c>
      <c r="K14" s="7">
        <f>Table3[[#This Row],[Qty]]*Table3[[#This Row],[Unit Cost (₦)*]]</f>
        <v>37500</v>
      </c>
      <c r="L14" s="7">
        <f t="shared" si="1"/>
        <v>35</v>
      </c>
      <c r="M14" s="7" t="str">
        <f t="shared" ca="1" si="2"/>
        <v>OK</v>
      </c>
      <c r="N14" s="7">
        <f>Table3[[#This Row],[Profit per Unit]]*Table3[[#This Row],[Units Sold (Monthly)]]</f>
        <v>16000</v>
      </c>
      <c r="O14" s="7" t="str">
        <f t="shared" si="3"/>
        <v>Oct</v>
      </c>
    </row>
    <row r="15" spans="1:15" x14ac:dyDescent="0.25">
      <c r="A15" s="6" t="s">
        <v>42</v>
      </c>
      <c r="B15" s="6" t="s">
        <v>43</v>
      </c>
      <c r="C15" s="6">
        <v>30</v>
      </c>
      <c r="D15" s="6">
        <v>2500</v>
      </c>
      <c r="E15" s="6">
        <v>3500</v>
      </c>
      <c r="F15" s="6" t="s">
        <v>44</v>
      </c>
      <c r="G15" s="6">
        <v>20</v>
      </c>
      <c r="H15" s="6">
        <f t="shared" si="0"/>
        <v>1000</v>
      </c>
      <c r="I15" s="6">
        <f>Table3[[#This Row],[Units Sold (Monthly)]]*Table3[[#This Row],[Selling Price (₦)]]</f>
        <v>70000</v>
      </c>
      <c r="J15" s="10">
        <f>Table3[[#This Row],[Units Sold (Monthly)]]*(Table3[[#This Row],[Selling Price (₦)]]-Table3[[#This Row],[Unit Cost (₦)*]])</f>
        <v>20000</v>
      </c>
      <c r="K15" s="7">
        <f>Table3[[#This Row],[Qty]]*Table3[[#This Row],[Unit Cost (₦)*]]</f>
        <v>75000</v>
      </c>
      <c r="L15" s="7">
        <f t="shared" si="1"/>
        <v>10</v>
      </c>
      <c r="M15" s="7" t="str">
        <f t="shared" ca="1" si="2"/>
        <v>EXPIRING SOON</v>
      </c>
      <c r="N15" s="7">
        <f>Table3[[#This Row],[Profit per Unit]]*Table3[[#This Row],[Units Sold (Monthly)]]</f>
        <v>20000</v>
      </c>
      <c r="O15" s="7" t="str">
        <f t="shared" si="3"/>
        <v>Oct</v>
      </c>
    </row>
    <row r="16" spans="1:15" x14ac:dyDescent="0.25">
      <c r="A16" s="6" t="s">
        <v>45</v>
      </c>
      <c r="B16" s="6" t="s">
        <v>46</v>
      </c>
      <c r="C16" s="6">
        <v>85</v>
      </c>
      <c r="D16" s="6">
        <v>400</v>
      </c>
      <c r="E16" s="6">
        <v>700</v>
      </c>
      <c r="F16" s="6" t="s">
        <v>47</v>
      </c>
      <c r="G16" s="6">
        <v>50</v>
      </c>
      <c r="H16" s="6">
        <f t="shared" si="0"/>
        <v>300</v>
      </c>
      <c r="I16" s="6">
        <f>Table3[[#This Row],[Units Sold (Monthly)]]*Table3[[#This Row],[Selling Price (₦)]]</f>
        <v>35000</v>
      </c>
      <c r="J16" s="10">
        <f>Table3[[#This Row],[Units Sold (Monthly)]]*(Table3[[#This Row],[Selling Price (₦)]]-Table3[[#This Row],[Unit Cost (₦)*]])</f>
        <v>15000</v>
      </c>
      <c r="K16" s="7">
        <f>Table3[[#This Row],[Qty]]*Table3[[#This Row],[Unit Cost (₦)*]]</f>
        <v>34000</v>
      </c>
      <c r="L16" s="7">
        <f t="shared" si="1"/>
        <v>35</v>
      </c>
      <c r="M16" s="7" t="str">
        <f t="shared" ca="1" si="2"/>
        <v>OK</v>
      </c>
      <c r="N16" s="7">
        <f>Table3[[#This Row],[Profit per Unit]]*Table3[[#This Row],[Units Sold (Monthly)]]</f>
        <v>15000</v>
      </c>
      <c r="O16" s="7" t="str">
        <f t="shared" si="3"/>
        <v>Jan</v>
      </c>
    </row>
    <row r="17" spans="1:15" x14ac:dyDescent="0.25">
      <c r="A17" s="6" t="s">
        <v>48</v>
      </c>
      <c r="B17" s="6" t="s">
        <v>13</v>
      </c>
      <c r="C17" s="6">
        <v>100</v>
      </c>
      <c r="D17" s="6">
        <v>250</v>
      </c>
      <c r="E17" s="6">
        <v>450</v>
      </c>
      <c r="F17" s="6" t="s">
        <v>49</v>
      </c>
      <c r="G17" s="6">
        <v>70</v>
      </c>
      <c r="H17" s="6">
        <f t="shared" si="0"/>
        <v>200</v>
      </c>
      <c r="I17" s="6">
        <f>Table3[[#This Row],[Units Sold (Monthly)]]*Table3[[#This Row],[Selling Price (₦)]]</f>
        <v>31500</v>
      </c>
      <c r="J17" s="10">
        <f>Table3[[#This Row],[Units Sold (Monthly)]]*(Table3[[#This Row],[Selling Price (₦)]]-Table3[[#This Row],[Unit Cost (₦)*]])</f>
        <v>14000</v>
      </c>
      <c r="K17" s="7">
        <f>Table3[[#This Row],[Qty]]*Table3[[#This Row],[Unit Cost (₦)*]]</f>
        <v>25000</v>
      </c>
      <c r="L17" s="7">
        <f t="shared" si="1"/>
        <v>30</v>
      </c>
      <c r="M17" s="7" t="str">
        <f t="shared" ca="1" si="2"/>
        <v>OK</v>
      </c>
      <c r="N17" s="7">
        <f>Table3[[#This Row],[Profit per Unit]]*Table3[[#This Row],[Units Sold (Monthly)]]</f>
        <v>14000</v>
      </c>
      <c r="O17" s="7" t="str">
        <f t="shared" si="3"/>
        <v>Apr</v>
      </c>
    </row>
    <row r="18" spans="1:15" x14ac:dyDescent="0.25">
      <c r="A18" s="6" t="s">
        <v>50</v>
      </c>
      <c r="B18" s="6" t="s">
        <v>10</v>
      </c>
      <c r="C18" s="6">
        <v>55</v>
      </c>
      <c r="D18" s="6">
        <v>800</v>
      </c>
      <c r="E18" s="6">
        <v>1200</v>
      </c>
      <c r="F18" s="6" t="s">
        <v>51</v>
      </c>
      <c r="G18" s="6">
        <v>35</v>
      </c>
      <c r="H18" s="6">
        <f t="shared" si="0"/>
        <v>400</v>
      </c>
      <c r="I18" s="6">
        <f>Table3[[#This Row],[Units Sold (Monthly)]]*Table3[[#This Row],[Selling Price (₦)]]</f>
        <v>42000</v>
      </c>
      <c r="J18" s="10">
        <f>Table3[[#This Row],[Units Sold (Monthly)]]*(Table3[[#This Row],[Selling Price (₦)]]-Table3[[#This Row],[Unit Cost (₦)*]])</f>
        <v>14000</v>
      </c>
      <c r="K18" s="7">
        <f>Table3[[#This Row],[Qty]]*Table3[[#This Row],[Unit Cost (₦)*]]</f>
        <v>44000</v>
      </c>
      <c r="L18" s="7">
        <f t="shared" si="1"/>
        <v>20</v>
      </c>
      <c r="M18" s="7" t="str">
        <f t="shared" ca="1" si="2"/>
        <v>EXPIRING SOON</v>
      </c>
      <c r="N18" s="7">
        <f>Table3[[#This Row],[Profit per Unit]]*Table3[[#This Row],[Units Sold (Monthly)]]</f>
        <v>14000</v>
      </c>
      <c r="O18" s="7" t="str">
        <f t="shared" si="3"/>
        <v>Apr</v>
      </c>
    </row>
    <row r="19" spans="1:15" x14ac:dyDescent="0.25">
      <c r="A19" s="6" t="s">
        <v>52</v>
      </c>
      <c r="B19" s="6" t="s">
        <v>13</v>
      </c>
      <c r="C19" s="6">
        <v>90</v>
      </c>
      <c r="D19" s="6">
        <v>350</v>
      </c>
      <c r="E19" s="6">
        <v>650</v>
      </c>
      <c r="F19" s="6" t="s">
        <v>53</v>
      </c>
      <c r="G19" s="6">
        <v>60</v>
      </c>
      <c r="H19" s="6">
        <f t="shared" si="0"/>
        <v>300</v>
      </c>
      <c r="I19" s="6">
        <f>Table3[[#This Row],[Units Sold (Monthly)]]*Table3[[#This Row],[Selling Price (₦)]]</f>
        <v>39000</v>
      </c>
      <c r="J19" s="10">
        <f>Table3[[#This Row],[Units Sold (Monthly)]]*(Table3[[#This Row],[Selling Price (₦)]]-Table3[[#This Row],[Unit Cost (₦)*]])</f>
        <v>18000</v>
      </c>
      <c r="K19" s="7">
        <f>Table3[[#This Row],[Qty]]*Table3[[#This Row],[Unit Cost (₦)*]]</f>
        <v>31500</v>
      </c>
      <c r="L19" s="7">
        <f t="shared" si="1"/>
        <v>30</v>
      </c>
      <c r="M19" s="7" t="str">
        <f t="shared" ca="1" si="2"/>
        <v>OK</v>
      </c>
      <c r="N19" s="7">
        <f>Table3[[#This Row],[Profit per Unit]]*Table3[[#This Row],[Units Sold (Monthly)]]</f>
        <v>18000</v>
      </c>
      <c r="O19" s="7" t="str">
        <f t="shared" si="3"/>
        <v>Apr</v>
      </c>
    </row>
    <row r="20" spans="1:15" x14ac:dyDescent="0.25">
      <c r="A20" s="6" t="s">
        <v>54</v>
      </c>
      <c r="B20" s="6" t="s">
        <v>21</v>
      </c>
      <c r="C20" s="6">
        <v>60</v>
      </c>
      <c r="D20" s="6">
        <v>700</v>
      </c>
      <c r="E20" s="6">
        <v>1100</v>
      </c>
      <c r="F20" s="6" t="s">
        <v>55</v>
      </c>
      <c r="G20" s="6">
        <v>50</v>
      </c>
      <c r="H20" s="6">
        <f t="shared" si="0"/>
        <v>400</v>
      </c>
      <c r="I20" s="6">
        <f>Table3[[#This Row],[Units Sold (Monthly)]]*Table3[[#This Row],[Selling Price (₦)]]</f>
        <v>55000</v>
      </c>
      <c r="J20" s="10">
        <f>Table3[[#This Row],[Units Sold (Monthly)]]*(Table3[[#This Row],[Selling Price (₦)]]-Table3[[#This Row],[Unit Cost (₦)*]])</f>
        <v>20000</v>
      </c>
      <c r="K20" s="7">
        <f>Table3[[#This Row],[Qty]]*Table3[[#This Row],[Unit Cost (₦)*]]</f>
        <v>42000</v>
      </c>
      <c r="L20" s="7">
        <f t="shared" si="1"/>
        <v>10</v>
      </c>
      <c r="M20" s="7" t="str">
        <f t="shared" ca="1" si="2"/>
        <v>EXPIRING SOON</v>
      </c>
      <c r="N20" s="7">
        <f>Table3[[#This Row],[Profit per Unit]]*Table3[[#This Row],[Units Sold (Monthly)]]</f>
        <v>20000</v>
      </c>
      <c r="O20" s="7" t="str">
        <f t="shared" si="3"/>
        <v>Oct</v>
      </c>
    </row>
    <row r="21" spans="1:15" x14ac:dyDescent="0.25">
      <c r="A21" s="6" t="s">
        <v>56</v>
      </c>
      <c r="B21" s="6" t="s">
        <v>18</v>
      </c>
      <c r="C21" s="6">
        <v>120</v>
      </c>
      <c r="D21" s="6">
        <v>150</v>
      </c>
      <c r="E21" s="6">
        <v>300</v>
      </c>
      <c r="F21" s="6" t="s">
        <v>57</v>
      </c>
      <c r="G21" s="6">
        <v>90</v>
      </c>
      <c r="H21" s="6">
        <f t="shared" si="0"/>
        <v>150</v>
      </c>
      <c r="I21" s="6">
        <f>Table3[[#This Row],[Units Sold (Monthly)]]*Table3[[#This Row],[Selling Price (₦)]]</f>
        <v>27000</v>
      </c>
      <c r="J21" s="10">
        <f>Table3[[#This Row],[Units Sold (Monthly)]]*(Table3[[#This Row],[Selling Price (₦)]]-Table3[[#This Row],[Unit Cost (₦)*]])</f>
        <v>13500</v>
      </c>
      <c r="K21" s="7">
        <f>Table3[[#This Row],[Qty]]*Table3[[#This Row],[Unit Cost (₦)*]]</f>
        <v>18000</v>
      </c>
      <c r="L21" s="7">
        <f t="shared" si="1"/>
        <v>30</v>
      </c>
      <c r="M21" s="7" t="str">
        <f t="shared" ca="1" si="2"/>
        <v>OK</v>
      </c>
      <c r="N21" s="7">
        <f>Table3[[#This Row],[Profit per Unit]]*Table3[[#This Row],[Units Sold (Monthly)]]</f>
        <v>13500</v>
      </c>
      <c r="O21" s="7" t="str">
        <f t="shared" si="3"/>
        <v>Dec</v>
      </c>
    </row>
    <row r="22" spans="1:15" x14ac:dyDescent="0.25">
      <c r="A22" s="6" t="s">
        <v>58</v>
      </c>
      <c r="B22" s="6" t="s">
        <v>7</v>
      </c>
      <c r="C22" s="6">
        <v>100</v>
      </c>
      <c r="D22" s="6">
        <v>250</v>
      </c>
      <c r="E22" s="6">
        <v>400</v>
      </c>
      <c r="F22" s="6" t="s">
        <v>59</v>
      </c>
      <c r="G22" s="6">
        <v>85</v>
      </c>
      <c r="H22" s="6">
        <f t="shared" si="0"/>
        <v>150</v>
      </c>
      <c r="I22" s="6">
        <f>Table3[[#This Row],[Units Sold (Monthly)]]*Table3[[#This Row],[Selling Price (₦)]]</f>
        <v>34000</v>
      </c>
      <c r="J22" s="10">
        <f>Table3[[#This Row],[Units Sold (Monthly)]]*(Table3[[#This Row],[Selling Price (₦)]]-Table3[[#This Row],[Unit Cost (₦)*]])</f>
        <v>12750</v>
      </c>
      <c r="K22" s="7">
        <f>Table3[[#This Row],[Qty]]*Table3[[#This Row],[Unit Cost (₦)*]]</f>
        <v>25000</v>
      </c>
      <c r="L22" s="7">
        <f t="shared" si="1"/>
        <v>15</v>
      </c>
      <c r="M22" s="7" t="str">
        <f t="shared" ca="1" si="2"/>
        <v>EXPIRING SOON</v>
      </c>
      <c r="N22" s="7">
        <f>Table3[[#This Row],[Profit per Unit]]*Table3[[#This Row],[Units Sold (Monthly)]]</f>
        <v>12750</v>
      </c>
      <c r="O22" s="7" t="str">
        <f t="shared" si="3"/>
        <v>Nov</v>
      </c>
    </row>
    <row r="23" spans="1:15" x14ac:dyDescent="0.25">
      <c r="A23" s="6" t="s">
        <v>60</v>
      </c>
      <c r="B23" s="6" t="s">
        <v>10</v>
      </c>
      <c r="C23" s="6">
        <v>65</v>
      </c>
      <c r="D23" s="6">
        <v>600</v>
      </c>
      <c r="E23" s="6">
        <v>950</v>
      </c>
      <c r="F23" s="6" t="s">
        <v>61</v>
      </c>
      <c r="G23" s="6">
        <v>45</v>
      </c>
      <c r="H23" s="6">
        <f t="shared" si="0"/>
        <v>350</v>
      </c>
      <c r="I23" s="6">
        <f>Table3[[#This Row],[Units Sold (Monthly)]]*Table3[[#This Row],[Selling Price (₦)]]</f>
        <v>42750</v>
      </c>
      <c r="J23" s="10">
        <f>Table3[[#This Row],[Units Sold (Monthly)]]*(Table3[[#This Row],[Selling Price (₦)]]-Table3[[#This Row],[Unit Cost (₦)*]])</f>
        <v>15750</v>
      </c>
      <c r="K23" s="7">
        <f>Table3[[#This Row],[Qty]]*Table3[[#This Row],[Unit Cost (₦)*]]</f>
        <v>39000</v>
      </c>
      <c r="L23" s="7">
        <f t="shared" si="1"/>
        <v>20</v>
      </c>
      <c r="M23" s="7" t="str">
        <f t="shared" ca="1" si="2"/>
        <v>EXPIRING SOON</v>
      </c>
      <c r="N23" s="7">
        <f>Table3[[#This Row],[Profit per Unit]]*Table3[[#This Row],[Units Sold (Monthly)]]</f>
        <v>15750</v>
      </c>
      <c r="O23" s="7" t="str">
        <f t="shared" si="3"/>
        <v>Feb</v>
      </c>
    </row>
    <row r="24" spans="1:15" x14ac:dyDescent="0.25">
      <c r="A24" s="6" t="s">
        <v>62</v>
      </c>
      <c r="B24" s="6" t="s">
        <v>40</v>
      </c>
      <c r="C24" s="6">
        <v>70</v>
      </c>
      <c r="D24" s="6">
        <v>500</v>
      </c>
      <c r="E24" s="6">
        <v>850</v>
      </c>
      <c r="F24" s="6" t="s">
        <v>63</v>
      </c>
      <c r="G24" s="6">
        <v>40</v>
      </c>
      <c r="H24" s="6">
        <f t="shared" si="0"/>
        <v>350</v>
      </c>
      <c r="I24" s="6">
        <f>Table3[[#This Row],[Units Sold (Monthly)]]*Table3[[#This Row],[Selling Price (₦)]]</f>
        <v>34000</v>
      </c>
      <c r="J24" s="10">
        <f>Table3[[#This Row],[Units Sold (Monthly)]]*(Table3[[#This Row],[Selling Price (₦)]]-Table3[[#This Row],[Unit Cost (₦)*]])</f>
        <v>14000</v>
      </c>
      <c r="K24" s="7">
        <f>Table3[[#This Row],[Qty]]*Table3[[#This Row],[Unit Cost (₦)*]]</f>
        <v>35000</v>
      </c>
      <c r="L24" s="7">
        <f t="shared" si="1"/>
        <v>30</v>
      </c>
      <c r="M24" s="7" t="str">
        <f t="shared" ca="1" si="2"/>
        <v>OK</v>
      </c>
      <c r="N24" s="7">
        <f>Table3[[#This Row],[Profit per Unit]]*Table3[[#This Row],[Units Sold (Monthly)]]</f>
        <v>14000</v>
      </c>
      <c r="O24" s="7" t="str">
        <f t="shared" si="3"/>
        <v>Apr</v>
      </c>
    </row>
    <row r="25" spans="1:15" x14ac:dyDescent="0.25">
      <c r="A25" s="6" t="s">
        <v>64</v>
      </c>
      <c r="B25" s="6" t="s">
        <v>32</v>
      </c>
      <c r="C25" s="6">
        <v>45</v>
      </c>
      <c r="D25" s="6">
        <v>1000</v>
      </c>
      <c r="E25" s="6">
        <v>1600</v>
      </c>
      <c r="F25" s="6" t="s">
        <v>65</v>
      </c>
      <c r="G25" s="6">
        <v>30</v>
      </c>
      <c r="H25" s="6">
        <f t="shared" si="0"/>
        <v>600</v>
      </c>
      <c r="I25" s="6">
        <f>Table3[[#This Row],[Units Sold (Monthly)]]*Table3[[#This Row],[Selling Price (₦)]]</f>
        <v>48000</v>
      </c>
      <c r="J25" s="10">
        <f>Table3[[#This Row],[Units Sold (Monthly)]]*(Table3[[#This Row],[Selling Price (₦)]]-Table3[[#This Row],[Unit Cost (₦)*]])</f>
        <v>18000</v>
      </c>
      <c r="K25" s="7">
        <f>Table3[[#This Row],[Qty]]*Table3[[#This Row],[Unit Cost (₦)*]]</f>
        <v>45000</v>
      </c>
      <c r="L25" s="7">
        <f t="shared" si="1"/>
        <v>15</v>
      </c>
      <c r="M25" s="7" t="str">
        <f t="shared" ca="1" si="2"/>
        <v>OK</v>
      </c>
      <c r="N25" s="7">
        <f>Table3[[#This Row],[Profit per Unit]]*Table3[[#This Row],[Units Sold (Monthly)]]</f>
        <v>18000</v>
      </c>
      <c r="O25" s="7" t="str">
        <f t="shared" si="3"/>
        <v>Apr</v>
      </c>
    </row>
    <row r="26" spans="1:15" x14ac:dyDescent="0.25">
      <c r="A26" s="6" t="s">
        <v>66</v>
      </c>
      <c r="B26" s="6" t="s">
        <v>27</v>
      </c>
      <c r="C26" s="6">
        <v>140</v>
      </c>
      <c r="D26" s="6">
        <v>120</v>
      </c>
      <c r="E26" s="6">
        <v>250</v>
      </c>
      <c r="F26" s="6" t="s">
        <v>67</v>
      </c>
      <c r="G26" s="6">
        <v>110</v>
      </c>
      <c r="H26" s="6">
        <f t="shared" si="0"/>
        <v>130</v>
      </c>
      <c r="I26" s="6">
        <f>Table3[[#This Row],[Units Sold (Monthly)]]*Table3[[#This Row],[Selling Price (₦)]]</f>
        <v>27500</v>
      </c>
      <c r="J26" s="10">
        <f>Table3[[#This Row],[Units Sold (Monthly)]]*(Table3[[#This Row],[Selling Price (₦)]]-Table3[[#This Row],[Unit Cost (₦)*]])</f>
        <v>14300</v>
      </c>
      <c r="K26" s="7">
        <f>Table3[[#This Row],[Qty]]*Table3[[#This Row],[Unit Cost (₦)*]]</f>
        <v>16800</v>
      </c>
      <c r="L26" s="7">
        <f t="shared" si="1"/>
        <v>30</v>
      </c>
      <c r="M26" s="7" t="str">
        <f t="shared" ca="1" si="2"/>
        <v>EXPIRING SOON</v>
      </c>
      <c r="N26" s="7">
        <f>Table3[[#This Row],[Profit per Unit]]*Table3[[#This Row],[Units Sold (Monthly)]]</f>
        <v>14300</v>
      </c>
      <c r="O26" s="7" t="str">
        <f t="shared" si="3"/>
        <v>Feb</v>
      </c>
    </row>
    <row r="27" spans="1:15" x14ac:dyDescent="0.25">
      <c r="A27" s="6" t="s">
        <v>68</v>
      </c>
      <c r="B27" s="6" t="s">
        <v>13</v>
      </c>
      <c r="C27" s="6">
        <v>80</v>
      </c>
      <c r="D27" s="6">
        <v>500</v>
      </c>
      <c r="E27" s="6">
        <v>900</v>
      </c>
      <c r="F27" s="6" t="s">
        <v>69</v>
      </c>
      <c r="G27" s="6">
        <v>55</v>
      </c>
      <c r="H27" s="6">
        <f t="shared" si="0"/>
        <v>400</v>
      </c>
      <c r="I27" s="6">
        <f>Table3[[#This Row],[Units Sold (Monthly)]]*Table3[[#This Row],[Selling Price (₦)]]</f>
        <v>49500</v>
      </c>
      <c r="J27" s="10">
        <f>Table3[[#This Row],[Units Sold (Monthly)]]*(Table3[[#This Row],[Selling Price (₦)]]-Table3[[#This Row],[Unit Cost (₦)*]])</f>
        <v>22000</v>
      </c>
      <c r="K27" s="7">
        <f>Table3[[#This Row],[Qty]]*Table3[[#This Row],[Unit Cost (₦)*]]</f>
        <v>40000</v>
      </c>
      <c r="L27" s="7">
        <f t="shared" si="1"/>
        <v>25</v>
      </c>
      <c r="M27" s="7" t="str">
        <f t="shared" ca="1" si="2"/>
        <v>OK</v>
      </c>
      <c r="N27" s="7">
        <f>Table3[[#This Row],[Profit per Unit]]*Table3[[#This Row],[Units Sold (Monthly)]]</f>
        <v>22000</v>
      </c>
      <c r="O27" s="7" t="str">
        <f t="shared" si="3"/>
        <v>Mar</v>
      </c>
    </row>
    <row r="28" spans="1:15" x14ac:dyDescent="0.25">
      <c r="A28" s="6" t="s">
        <v>70</v>
      </c>
      <c r="B28" s="6" t="s">
        <v>71</v>
      </c>
      <c r="C28" s="6">
        <v>75</v>
      </c>
      <c r="D28" s="6">
        <v>450</v>
      </c>
      <c r="E28" s="6">
        <v>750</v>
      </c>
      <c r="F28" s="6" t="s">
        <v>72</v>
      </c>
      <c r="G28" s="6">
        <v>50</v>
      </c>
      <c r="H28" s="6">
        <f t="shared" si="0"/>
        <v>300</v>
      </c>
      <c r="I28" s="6">
        <f>Table3[[#This Row],[Units Sold (Monthly)]]*Table3[[#This Row],[Selling Price (₦)]]</f>
        <v>37500</v>
      </c>
      <c r="J28" s="10">
        <f>Table3[[#This Row],[Units Sold (Monthly)]]*(Table3[[#This Row],[Selling Price (₦)]]-Table3[[#This Row],[Unit Cost (₦)*]])</f>
        <v>15000</v>
      </c>
      <c r="K28" s="7">
        <f>Table3[[#This Row],[Qty]]*Table3[[#This Row],[Unit Cost (₦)*]]</f>
        <v>33750</v>
      </c>
      <c r="L28" s="7">
        <f t="shared" si="1"/>
        <v>25</v>
      </c>
      <c r="M28" s="7" t="str">
        <f t="shared" ca="1" si="2"/>
        <v>OK</v>
      </c>
      <c r="N28" s="7">
        <f>Table3[[#This Row],[Profit per Unit]]*Table3[[#This Row],[Units Sold (Monthly)]]</f>
        <v>15000</v>
      </c>
      <c r="O28" s="7" t="str">
        <f t="shared" si="3"/>
        <v>Jan</v>
      </c>
    </row>
    <row r="29" spans="1:15" x14ac:dyDescent="0.25">
      <c r="A29" s="6" t="s">
        <v>73</v>
      </c>
      <c r="B29" s="6" t="s">
        <v>21</v>
      </c>
      <c r="C29" s="6">
        <v>25</v>
      </c>
      <c r="D29" s="6">
        <v>3000</v>
      </c>
      <c r="E29" s="6">
        <v>4500</v>
      </c>
      <c r="F29" s="6" t="s">
        <v>74</v>
      </c>
      <c r="G29" s="6">
        <v>15</v>
      </c>
      <c r="H29" s="6">
        <f t="shared" si="0"/>
        <v>1500</v>
      </c>
      <c r="I29" s="6">
        <f>Table3[[#This Row],[Units Sold (Monthly)]]*Table3[[#This Row],[Selling Price (₦)]]</f>
        <v>67500</v>
      </c>
      <c r="J29" s="10">
        <f>Table3[[#This Row],[Units Sold (Monthly)]]*(Table3[[#This Row],[Selling Price (₦)]]-Table3[[#This Row],[Unit Cost (₦)*]])</f>
        <v>22500</v>
      </c>
      <c r="K29" s="7">
        <f>Table3[[#This Row],[Qty]]*Table3[[#This Row],[Unit Cost (₦)*]]</f>
        <v>75000</v>
      </c>
      <c r="L29" s="7">
        <f t="shared" si="1"/>
        <v>10</v>
      </c>
      <c r="M29" s="7" t="str">
        <f t="shared" ca="1" si="2"/>
        <v>EXPIRING SOON</v>
      </c>
      <c r="N29" s="7">
        <f>Table3[[#This Row],[Profit per Unit]]*Table3[[#This Row],[Units Sold (Monthly)]]</f>
        <v>22500</v>
      </c>
      <c r="O29" s="7" t="str">
        <f t="shared" si="3"/>
        <v>Aug</v>
      </c>
    </row>
    <row r="30" spans="1:15" x14ac:dyDescent="0.25">
      <c r="A30" s="6" t="s">
        <v>75</v>
      </c>
      <c r="B30" s="6" t="s">
        <v>7</v>
      </c>
      <c r="C30" s="6">
        <v>90</v>
      </c>
      <c r="D30" s="6">
        <v>300</v>
      </c>
      <c r="E30" s="6">
        <v>600</v>
      </c>
      <c r="F30" s="6" t="s">
        <v>76</v>
      </c>
      <c r="G30" s="6">
        <v>65</v>
      </c>
      <c r="H30" s="6">
        <f t="shared" si="0"/>
        <v>300</v>
      </c>
      <c r="I30" s="6">
        <f>Table3[[#This Row],[Units Sold (Monthly)]]*Table3[[#This Row],[Selling Price (₦)]]</f>
        <v>39000</v>
      </c>
      <c r="J30" s="10">
        <f>Table3[[#This Row],[Units Sold (Monthly)]]*(Table3[[#This Row],[Selling Price (₦)]]-Table3[[#This Row],[Unit Cost (₦)*]])</f>
        <v>19500</v>
      </c>
      <c r="K30" s="7">
        <f>Table3[[#This Row],[Qty]]*Table3[[#This Row],[Unit Cost (₦)*]]</f>
        <v>27000</v>
      </c>
      <c r="L30" s="7">
        <f t="shared" si="1"/>
        <v>25</v>
      </c>
      <c r="M30" s="7" t="str">
        <f t="shared" ca="1" si="2"/>
        <v>OK</v>
      </c>
      <c r="N30" s="7">
        <f>Table3[[#This Row],[Profit per Unit]]*Table3[[#This Row],[Units Sold (Monthly)]]</f>
        <v>19500</v>
      </c>
      <c r="O30" s="7" t="str">
        <f t="shared" si="3"/>
        <v>May</v>
      </c>
    </row>
    <row r="31" spans="1:15" x14ac:dyDescent="0.25">
      <c r="A31" s="6" t="s">
        <v>77</v>
      </c>
      <c r="B31" s="6" t="s">
        <v>13</v>
      </c>
      <c r="C31" s="6">
        <v>85</v>
      </c>
      <c r="D31" s="6">
        <v>350</v>
      </c>
      <c r="E31" s="6">
        <v>650</v>
      </c>
      <c r="F31" s="6" t="s">
        <v>78</v>
      </c>
      <c r="G31" s="6">
        <v>60</v>
      </c>
      <c r="H31" s="6">
        <f t="shared" si="0"/>
        <v>300</v>
      </c>
      <c r="I31" s="6">
        <f>Table3[[#This Row],[Units Sold (Monthly)]]*Table3[[#This Row],[Selling Price (₦)]]</f>
        <v>39000</v>
      </c>
      <c r="J31" s="10">
        <f>Table3[[#This Row],[Units Sold (Monthly)]]*(Table3[[#This Row],[Selling Price (₦)]]-Table3[[#This Row],[Unit Cost (₦)*]])</f>
        <v>18000</v>
      </c>
      <c r="K31" s="7">
        <f>Table3[[#This Row],[Qty]]*Table3[[#This Row],[Unit Cost (₦)*]]</f>
        <v>29750</v>
      </c>
      <c r="L31" s="7">
        <f t="shared" si="1"/>
        <v>25</v>
      </c>
      <c r="M31" s="7" t="str">
        <f t="shared" ca="1" si="2"/>
        <v>OK</v>
      </c>
      <c r="N31" s="7">
        <f>Table3[[#This Row],[Profit per Unit]]*Table3[[#This Row],[Units Sold (Monthly)]]</f>
        <v>18000</v>
      </c>
      <c r="O31" s="7" t="str">
        <f t="shared" si="3"/>
        <v>Apr</v>
      </c>
    </row>
    <row r="32" spans="1:15" x14ac:dyDescent="0.25">
      <c r="A32" s="6" t="s">
        <v>79</v>
      </c>
      <c r="B32" s="6" t="s">
        <v>46</v>
      </c>
      <c r="C32" s="6">
        <v>60</v>
      </c>
      <c r="D32" s="6">
        <v>500</v>
      </c>
      <c r="E32" s="6">
        <v>900</v>
      </c>
      <c r="F32" s="6" t="s">
        <v>80</v>
      </c>
      <c r="G32" s="6">
        <v>40</v>
      </c>
      <c r="H32" s="6">
        <f t="shared" si="0"/>
        <v>400</v>
      </c>
      <c r="I32" s="6">
        <f>Table3[[#This Row],[Units Sold (Monthly)]]*Table3[[#This Row],[Selling Price (₦)]]</f>
        <v>36000</v>
      </c>
      <c r="J32" s="10">
        <f>Table3[[#This Row],[Units Sold (Monthly)]]*(Table3[[#This Row],[Selling Price (₦)]]-Table3[[#This Row],[Unit Cost (₦)*]])</f>
        <v>16000</v>
      </c>
      <c r="K32" s="7">
        <f>Table3[[#This Row],[Qty]]*Table3[[#This Row],[Unit Cost (₦)*]]</f>
        <v>30000</v>
      </c>
      <c r="L32" s="7">
        <f t="shared" si="1"/>
        <v>20</v>
      </c>
      <c r="M32" s="7" t="str">
        <f t="shared" ca="1" si="2"/>
        <v>OK</v>
      </c>
      <c r="N32" s="7">
        <f>Table3[[#This Row],[Profit per Unit]]*Table3[[#This Row],[Units Sold (Monthly)]]</f>
        <v>16000</v>
      </c>
      <c r="O32" s="7" t="str">
        <f t="shared" si="3"/>
        <v>Oct</v>
      </c>
    </row>
    <row r="33" spans="1:15" x14ac:dyDescent="0.25">
      <c r="A33" s="6" t="s">
        <v>81</v>
      </c>
      <c r="B33" s="6" t="s">
        <v>18</v>
      </c>
      <c r="C33" s="6">
        <v>100</v>
      </c>
      <c r="D33" s="6">
        <v>400</v>
      </c>
      <c r="E33" s="6">
        <v>750</v>
      </c>
      <c r="F33" s="6" t="s">
        <v>82</v>
      </c>
      <c r="G33" s="6">
        <v>80</v>
      </c>
      <c r="H33" s="6">
        <f t="shared" si="0"/>
        <v>350</v>
      </c>
      <c r="I33" s="6">
        <f>Table3[[#This Row],[Units Sold (Monthly)]]*Table3[[#This Row],[Selling Price (₦)]]</f>
        <v>60000</v>
      </c>
      <c r="J33" s="10">
        <f>Table3[[#This Row],[Units Sold (Monthly)]]*(Table3[[#This Row],[Selling Price (₦)]]-Table3[[#This Row],[Unit Cost (₦)*]])</f>
        <v>28000</v>
      </c>
      <c r="K33" s="7">
        <f>Table3[[#This Row],[Qty]]*Table3[[#This Row],[Unit Cost (₦)*]]</f>
        <v>40000</v>
      </c>
      <c r="L33" s="7">
        <f t="shared" si="1"/>
        <v>20</v>
      </c>
      <c r="M33" s="7" t="str">
        <f t="shared" ca="1" si="2"/>
        <v>EXPIRING SOON</v>
      </c>
      <c r="N33" s="7">
        <f>Table3[[#This Row],[Profit per Unit]]*Table3[[#This Row],[Units Sold (Monthly)]]</f>
        <v>28000</v>
      </c>
      <c r="O33" s="7" t="str">
        <f t="shared" si="3"/>
        <v>Aug</v>
      </c>
    </row>
    <row r="34" spans="1:15" x14ac:dyDescent="0.25">
      <c r="A34" s="6" t="s">
        <v>83</v>
      </c>
      <c r="B34" s="6" t="s">
        <v>10</v>
      </c>
      <c r="C34" s="6">
        <v>70</v>
      </c>
      <c r="D34" s="6">
        <v>550</v>
      </c>
      <c r="E34" s="6">
        <v>950</v>
      </c>
      <c r="F34" s="6" t="s">
        <v>84</v>
      </c>
      <c r="G34" s="6">
        <v>50</v>
      </c>
      <c r="H34" s="6">
        <f t="shared" ref="H34:H51" si="4">E34-D34</f>
        <v>400</v>
      </c>
      <c r="I34" s="6">
        <f>Table3[[#This Row],[Units Sold (Monthly)]]*Table3[[#This Row],[Selling Price (₦)]]</f>
        <v>47500</v>
      </c>
      <c r="J34" s="10">
        <f>Table3[[#This Row],[Units Sold (Monthly)]]*(Table3[[#This Row],[Selling Price (₦)]]-Table3[[#This Row],[Unit Cost (₦)*]])</f>
        <v>20000</v>
      </c>
      <c r="K34" s="7">
        <f>Table3[[#This Row],[Qty]]*Table3[[#This Row],[Unit Cost (₦)*]]</f>
        <v>38500</v>
      </c>
      <c r="L34" s="7">
        <f t="shared" ref="L34:L51" si="5">C34-G34</f>
        <v>20</v>
      </c>
      <c r="M34" s="7" t="str">
        <f t="shared" ref="M34:M51" ca="1" si="6">IF(F34-TODAY()&lt;=90,"EXPIRING SOON","OK")</f>
        <v>EXPIRING SOON</v>
      </c>
      <c r="N34" s="7">
        <f>Table3[[#This Row],[Profit per Unit]]*Table3[[#This Row],[Units Sold (Monthly)]]</f>
        <v>20000</v>
      </c>
      <c r="O34" s="7" t="str">
        <f t="shared" ref="O34:O51" si="7">TEXT(J34,"MMM")</f>
        <v>Oct</v>
      </c>
    </row>
    <row r="35" spans="1:15" x14ac:dyDescent="0.25">
      <c r="A35" s="6" t="s">
        <v>85</v>
      </c>
      <c r="B35" s="6" t="s">
        <v>40</v>
      </c>
      <c r="C35" s="6">
        <v>50</v>
      </c>
      <c r="D35" s="6">
        <v>800</v>
      </c>
      <c r="E35" s="6">
        <v>1300</v>
      </c>
      <c r="F35" s="6" t="s">
        <v>86</v>
      </c>
      <c r="G35" s="6">
        <v>30</v>
      </c>
      <c r="H35" s="6">
        <f t="shared" si="4"/>
        <v>500</v>
      </c>
      <c r="I35" s="6">
        <f>Table3[[#This Row],[Units Sold (Monthly)]]*Table3[[#This Row],[Selling Price (₦)]]</f>
        <v>39000</v>
      </c>
      <c r="J35" s="10">
        <f>Table3[[#This Row],[Units Sold (Monthly)]]*(Table3[[#This Row],[Selling Price (₦)]]-Table3[[#This Row],[Unit Cost (₦)*]])</f>
        <v>15000</v>
      </c>
      <c r="K35" s="7">
        <f>Table3[[#This Row],[Qty]]*Table3[[#This Row],[Unit Cost (₦)*]]</f>
        <v>40000</v>
      </c>
      <c r="L35" s="7">
        <f t="shared" si="5"/>
        <v>20</v>
      </c>
      <c r="M35" s="7" t="str">
        <f t="shared" ca="1" si="6"/>
        <v>EXPIRING SOON</v>
      </c>
      <c r="N35" s="7">
        <f>Table3[[#This Row],[Profit per Unit]]*Table3[[#This Row],[Units Sold (Monthly)]]</f>
        <v>15000</v>
      </c>
      <c r="O35" s="7" t="str">
        <f t="shared" si="7"/>
        <v>Jan</v>
      </c>
    </row>
    <row r="36" spans="1:15" x14ac:dyDescent="0.25">
      <c r="A36" s="6" t="s">
        <v>87</v>
      </c>
      <c r="B36" s="6" t="s">
        <v>7</v>
      </c>
      <c r="C36" s="6">
        <v>110</v>
      </c>
      <c r="D36" s="6">
        <v>200</v>
      </c>
      <c r="E36" s="6">
        <v>350</v>
      </c>
      <c r="F36" s="6" t="s">
        <v>88</v>
      </c>
      <c r="G36" s="6">
        <v>95</v>
      </c>
      <c r="H36" s="6">
        <f t="shared" si="4"/>
        <v>150</v>
      </c>
      <c r="I36" s="6">
        <f>Table3[[#This Row],[Units Sold (Monthly)]]*Table3[[#This Row],[Selling Price (₦)]]</f>
        <v>33250</v>
      </c>
      <c r="J36" s="10">
        <f>Table3[[#This Row],[Units Sold (Monthly)]]*(Table3[[#This Row],[Selling Price (₦)]]-Table3[[#This Row],[Unit Cost (₦)*]])</f>
        <v>14250</v>
      </c>
      <c r="K36" s="7">
        <f>Table3[[#This Row],[Qty]]*Table3[[#This Row],[Unit Cost (₦)*]]</f>
        <v>22000</v>
      </c>
      <c r="L36" s="7">
        <f t="shared" si="5"/>
        <v>15</v>
      </c>
      <c r="M36" s="7" t="str">
        <f t="shared" ca="1" si="6"/>
        <v>EXPIRING SOON</v>
      </c>
      <c r="N36" s="7">
        <f>Table3[[#This Row],[Profit per Unit]]*Table3[[#This Row],[Units Sold (Monthly)]]</f>
        <v>14250</v>
      </c>
      <c r="O36" s="7" t="str">
        <f t="shared" si="7"/>
        <v>Jan</v>
      </c>
    </row>
    <row r="37" spans="1:15" x14ac:dyDescent="0.25">
      <c r="A37" s="6" t="s">
        <v>89</v>
      </c>
      <c r="B37" s="6" t="s">
        <v>43</v>
      </c>
      <c r="C37" s="6">
        <v>40</v>
      </c>
      <c r="D37" s="6">
        <v>1500</v>
      </c>
      <c r="E37" s="6">
        <v>2200</v>
      </c>
      <c r="F37" s="6" t="s">
        <v>90</v>
      </c>
      <c r="G37" s="6">
        <v>25</v>
      </c>
      <c r="H37" s="6">
        <f t="shared" si="4"/>
        <v>700</v>
      </c>
      <c r="I37" s="6">
        <f>Table3[[#This Row],[Units Sold (Monthly)]]*Table3[[#This Row],[Selling Price (₦)]]</f>
        <v>55000</v>
      </c>
      <c r="J37" s="10">
        <f>Table3[[#This Row],[Units Sold (Monthly)]]*(Table3[[#This Row],[Selling Price (₦)]]-Table3[[#This Row],[Unit Cost (₦)*]])</f>
        <v>17500</v>
      </c>
      <c r="K37" s="7">
        <f>Table3[[#This Row],[Qty]]*Table3[[#This Row],[Unit Cost (₦)*]]</f>
        <v>60000</v>
      </c>
      <c r="L37" s="7">
        <f t="shared" si="5"/>
        <v>15</v>
      </c>
      <c r="M37" s="7" t="str">
        <f t="shared" ca="1" si="6"/>
        <v>OK</v>
      </c>
      <c r="N37" s="7">
        <f>Table3[[#This Row],[Profit per Unit]]*Table3[[#This Row],[Units Sold (Monthly)]]</f>
        <v>17500</v>
      </c>
      <c r="O37" s="7" t="str">
        <f t="shared" si="7"/>
        <v>Nov</v>
      </c>
    </row>
    <row r="38" spans="1:15" x14ac:dyDescent="0.25">
      <c r="A38" s="6" t="s">
        <v>91</v>
      </c>
      <c r="B38" s="6" t="s">
        <v>27</v>
      </c>
      <c r="C38" s="6">
        <v>130</v>
      </c>
      <c r="D38" s="6">
        <v>150</v>
      </c>
      <c r="E38" s="6">
        <v>300</v>
      </c>
      <c r="F38" s="6" t="s">
        <v>92</v>
      </c>
      <c r="G38" s="6">
        <v>100</v>
      </c>
      <c r="H38" s="6">
        <f t="shared" si="4"/>
        <v>150</v>
      </c>
      <c r="I38" s="6">
        <f>Table3[[#This Row],[Units Sold (Monthly)]]*Table3[[#This Row],[Selling Price (₦)]]</f>
        <v>30000</v>
      </c>
      <c r="J38" s="10">
        <f>Table3[[#This Row],[Units Sold (Monthly)]]*(Table3[[#This Row],[Selling Price (₦)]]-Table3[[#This Row],[Unit Cost (₦)*]])</f>
        <v>15000</v>
      </c>
      <c r="K38" s="7">
        <f>Table3[[#This Row],[Qty]]*Table3[[#This Row],[Unit Cost (₦)*]]</f>
        <v>19500</v>
      </c>
      <c r="L38" s="7">
        <f t="shared" si="5"/>
        <v>30</v>
      </c>
      <c r="M38" s="7" t="str">
        <f t="shared" ca="1" si="6"/>
        <v>EXPIRING SOON</v>
      </c>
      <c r="N38" s="7">
        <f>Table3[[#This Row],[Profit per Unit]]*Table3[[#This Row],[Units Sold (Monthly)]]</f>
        <v>15000</v>
      </c>
      <c r="O38" s="7" t="str">
        <f t="shared" si="7"/>
        <v>Jan</v>
      </c>
    </row>
    <row r="39" spans="1:15" x14ac:dyDescent="0.25">
      <c r="A39" s="6" t="s">
        <v>93</v>
      </c>
      <c r="B39" s="6" t="s">
        <v>13</v>
      </c>
      <c r="C39" s="6">
        <v>95</v>
      </c>
      <c r="D39" s="6">
        <v>450</v>
      </c>
      <c r="E39" s="6">
        <v>800</v>
      </c>
      <c r="F39" s="6" t="s">
        <v>94</v>
      </c>
      <c r="G39" s="6">
        <v>70</v>
      </c>
      <c r="H39" s="6">
        <f t="shared" si="4"/>
        <v>350</v>
      </c>
      <c r="I39" s="6">
        <f>Table3[[#This Row],[Units Sold (Monthly)]]*Table3[[#This Row],[Selling Price (₦)]]</f>
        <v>56000</v>
      </c>
      <c r="J39" s="10">
        <f>Table3[[#This Row],[Units Sold (Monthly)]]*(Table3[[#This Row],[Selling Price (₦)]]-Table3[[#This Row],[Unit Cost (₦)*]])</f>
        <v>24500</v>
      </c>
      <c r="K39" s="7">
        <f>Table3[[#This Row],[Qty]]*Table3[[#This Row],[Unit Cost (₦)*]]</f>
        <v>42750</v>
      </c>
      <c r="L39" s="7">
        <f t="shared" si="5"/>
        <v>25</v>
      </c>
      <c r="M39" s="7" t="str">
        <f t="shared" ca="1" si="6"/>
        <v>OK</v>
      </c>
      <c r="N39" s="7">
        <f>Table3[[#This Row],[Profit per Unit]]*Table3[[#This Row],[Units Sold (Monthly)]]</f>
        <v>24500</v>
      </c>
      <c r="O39" s="7" t="str">
        <f t="shared" si="7"/>
        <v>Jan</v>
      </c>
    </row>
    <row r="40" spans="1:15" x14ac:dyDescent="0.25">
      <c r="A40" s="6" t="s">
        <v>95</v>
      </c>
      <c r="B40" s="6" t="s">
        <v>24</v>
      </c>
      <c r="C40" s="6">
        <v>85</v>
      </c>
      <c r="D40" s="6">
        <v>300</v>
      </c>
      <c r="E40" s="6">
        <v>550</v>
      </c>
      <c r="F40" s="6" t="s">
        <v>96</v>
      </c>
      <c r="G40" s="6">
        <v>60</v>
      </c>
      <c r="H40" s="6">
        <f t="shared" si="4"/>
        <v>250</v>
      </c>
      <c r="I40" s="6">
        <f>Table3[[#This Row],[Units Sold (Monthly)]]*Table3[[#This Row],[Selling Price (₦)]]</f>
        <v>33000</v>
      </c>
      <c r="J40" s="10">
        <f>Table3[[#This Row],[Units Sold (Monthly)]]*(Table3[[#This Row],[Selling Price (₦)]]-Table3[[#This Row],[Unit Cost (₦)*]])</f>
        <v>15000</v>
      </c>
      <c r="K40" s="7">
        <f>Table3[[#This Row],[Qty]]*Table3[[#This Row],[Unit Cost (₦)*]]</f>
        <v>25500</v>
      </c>
      <c r="L40" s="7">
        <f t="shared" si="5"/>
        <v>25</v>
      </c>
      <c r="M40" s="7" t="str">
        <f t="shared" ca="1" si="6"/>
        <v>OK</v>
      </c>
      <c r="N40" s="7">
        <f>Table3[[#This Row],[Profit per Unit]]*Table3[[#This Row],[Units Sold (Monthly)]]</f>
        <v>15000</v>
      </c>
      <c r="O40" s="7" t="str">
        <f t="shared" si="7"/>
        <v>Jan</v>
      </c>
    </row>
    <row r="41" spans="1:15" x14ac:dyDescent="0.25">
      <c r="A41" s="6" t="s">
        <v>97</v>
      </c>
      <c r="B41" s="6" t="s">
        <v>18</v>
      </c>
      <c r="C41" s="6">
        <v>60</v>
      </c>
      <c r="D41" s="6">
        <v>700</v>
      </c>
      <c r="E41" s="6">
        <v>1200</v>
      </c>
      <c r="F41" s="6" t="s">
        <v>98</v>
      </c>
      <c r="G41" s="6">
        <v>45</v>
      </c>
      <c r="H41" s="6">
        <f t="shared" si="4"/>
        <v>500</v>
      </c>
      <c r="I41" s="6">
        <f>Table3[[#This Row],[Units Sold (Monthly)]]*Table3[[#This Row],[Selling Price (₦)]]</f>
        <v>54000</v>
      </c>
      <c r="J41" s="10">
        <f>Table3[[#This Row],[Units Sold (Monthly)]]*(Table3[[#This Row],[Selling Price (₦)]]-Table3[[#This Row],[Unit Cost (₦)*]])</f>
        <v>22500</v>
      </c>
      <c r="K41" s="7">
        <f>Table3[[#This Row],[Qty]]*Table3[[#This Row],[Unit Cost (₦)*]]</f>
        <v>42000</v>
      </c>
      <c r="L41" s="7">
        <f t="shared" si="5"/>
        <v>15</v>
      </c>
      <c r="M41" s="7" t="str">
        <f t="shared" ca="1" si="6"/>
        <v>EXPIRING SOON</v>
      </c>
      <c r="N41" s="7">
        <f>Table3[[#This Row],[Profit per Unit]]*Table3[[#This Row],[Units Sold (Monthly)]]</f>
        <v>22500</v>
      </c>
      <c r="O41" s="7" t="str">
        <f t="shared" si="7"/>
        <v>Aug</v>
      </c>
    </row>
    <row r="42" spans="1:15" x14ac:dyDescent="0.25">
      <c r="A42" s="6" t="s">
        <v>99</v>
      </c>
      <c r="B42" s="6" t="s">
        <v>21</v>
      </c>
      <c r="C42" s="6">
        <v>20</v>
      </c>
      <c r="D42" s="6">
        <v>3500</v>
      </c>
      <c r="E42" s="6">
        <v>5000</v>
      </c>
      <c r="F42" s="6" t="s">
        <v>100</v>
      </c>
      <c r="G42" s="6">
        <v>10</v>
      </c>
      <c r="H42" s="6">
        <f t="shared" si="4"/>
        <v>1500</v>
      </c>
      <c r="I42" s="6">
        <f>Table3[[#This Row],[Units Sold (Monthly)]]*Table3[[#This Row],[Selling Price (₦)]]</f>
        <v>50000</v>
      </c>
      <c r="J42" s="10">
        <f>Table3[[#This Row],[Units Sold (Monthly)]]*(Table3[[#This Row],[Selling Price (₦)]]-Table3[[#This Row],[Unit Cost (₦)*]])</f>
        <v>15000</v>
      </c>
      <c r="K42" s="7">
        <f>Table3[[#This Row],[Qty]]*Table3[[#This Row],[Unit Cost (₦)*]]</f>
        <v>70000</v>
      </c>
      <c r="L42" s="7">
        <f t="shared" si="5"/>
        <v>10</v>
      </c>
      <c r="M42" s="7" t="str">
        <f t="shared" ca="1" si="6"/>
        <v>EXPIRING SOON</v>
      </c>
      <c r="N42" s="7">
        <f>Table3[[#This Row],[Profit per Unit]]*Table3[[#This Row],[Units Sold (Monthly)]]</f>
        <v>15000</v>
      </c>
      <c r="O42" s="7" t="str">
        <f t="shared" si="7"/>
        <v>Jan</v>
      </c>
    </row>
    <row r="43" spans="1:15" x14ac:dyDescent="0.25">
      <c r="A43" s="6" t="s">
        <v>101</v>
      </c>
      <c r="B43" s="6" t="s">
        <v>7</v>
      </c>
      <c r="C43" s="6">
        <v>75</v>
      </c>
      <c r="D43" s="6">
        <v>500</v>
      </c>
      <c r="E43" s="6">
        <v>900</v>
      </c>
      <c r="F43" s="6" t="s">
        <v>102</v>
      </c>
      <c r="G43" s="6">
        <v>55</v>
      </c>
      <c r="H43" s="6">
        <f t="shared" si="4"/>
        <v>400</v>
      </c>
      <c r="I43" s="6">
        <f>Table3[[#This Row],[Units Sold (Monthly)]]*Table3[[#This Row],[Selling Price (₦)]]</f>
        <v>49500</v>
      </c>
      <c r="J43" s="10">
        <f>Table3[[#This Row],[Units Sold (Monthly)]]*(Table3[[#This Row],[Selling Price (₦)]]-Table3[[#This Row],[Unit Cost (₦)*]])</f>
        <v>22000</v>
      </c>
      <c r="K43" s="7">
        <f>Table3[[#This Row],[Qty]]*Table3[[#This Row],[Unit Cost (₦)*]]</f>
        <v>37500</v>
      </c>
      <c r="L43" s="7">
        <f t="shared" si="5"/>
        <v>20</v>
      </c>
      <c r="M43" s="7" t="str">
        <f t="shared" ca="1" si="6"/>
        <v>OK</v>
      </c>
      <c r="N43" s="7">
        <f>Table3[[#This Row],[Profit per Unit]]*Table3[[#This Row],[Units Sold (Monthly)]]</f>
        <v>22000</v>
      </c>
      <c r="O43" s="7" t="str">
        <f t="shared" si="7"/>
        <v>Mar</v>
      </c>
    </row>
    <row r="44" spans="1:15" x14ac:dyDescent="0.25">
      <c r="A44" s="6" t="s">
        <v>103</v>
      </c>
      <c r="B44" s="6" t="s">
        <v>13</v>
      </c>
      <c r="C44" s="6">
        <v>100</v>
      </c>
      <c r="D44" s="6">
        <v>250</v>
      </c>
      <c r="E44" s="6">
        <v>500</v>
      </c>
      <c r="F44" s="6" t="s">
        <v>104</v>
      </c>
      <c r="G44" s="6">
        <v>80</v>
      </c>
      <c r="H44" s="6">
        <f t="shared" si="4"/>
        <v>250</v>
      </c>
      <c r="I44" s="6">
        <f>Table3[[#This Row],[Units Sold (Monthly)]]*Table3[[#This Row],[Selling Price (₦)]]</f>
        <v>40000</v>
      </c>
      <c r="J44" s="10">
        <f>Table3[[#This Row],[Units Sold (Monthly)]]*(Table3[[#This Row],[Selling Price (₦)]]-Table3[[#This Row],[Unit Cost (₦)*]])</f>
        <v>20000</v>
      </c>
      <c r="K44" s="7">
        <f>Table3[[#This Row],[Qty]]*Table3[[#This Row],[Unit Cost (₦)*]]</f>
        <v>25000</v>
      </c>
      <c r="L44" s="7">
        <f t="shared" si="5"/>
        <v>20</v>
      </c>
      <c r="M44" s="7" t="str">
        <f t="shared" ca="1" si="6"/>
        <v>OK</v>
      </c>
      <c r="N44" s="7">
        <f>Table3[[#This Row],[Profit per Unit]]*Table3[[#This Row],[Units Sold (Monthly)]]</f>
        <v>20000</v>
      </c>
      <c r="O44" s="7" t="str">
        <f t="shared" si="7"/>
        <v>Oct</v>
      </c>
    </row>
    <row r="45" spans="1:15" x14ac:dyDescent="0.25">
      <c r="A45" s="6" t="s">
        <v>105</v>
      </c>
      <c r="B45" s="6" t="s">
        <v>10</v>
      </c>
      <c r="C45" s="6">
        <v>65</v>
      </c>
      <c r="D45" s="6">
        <v>600</v>
      </c>
      <c r="E45" s="6">
        <v>1000</v>
      </c>
      <c r="F45" s="6" t="s">
        <v>106</v>
      </c>
      <c r="G45" s="6">
        <v>50</v>
      </c>
      <c r="H45" s="6">
        <f t="shared" si="4"/>
        <v>400</v>
      </c>
      <c r="I45" s="6">
        <f>Table3[[#This Row],[Units Sold (Monthly)]]*Table3[[#This Row],[Selling Price (₦)]]</f>
        <v>50000</v>
      </c>
      <c r="J45" s="10">
        <f>Table3[[#This Row],[Units Sold (Monthly)]]*(Table3[[#This Row],[Selling Price (₦)]]-Table3[[#This Row],[Unit Cost (₦)*]])</f>
        <v>20000</v>
      </c>
      <c r="K45" s="7">
        <f>Table3[[#This Row],[Qty]]*Table3[[#This Row],[Unit Cost (₦)*]]</f>
        <v>39000</v>
      </c>
      <c r="L45" s="7">
        <f t="shared" si="5"/>
        <v>15</v>
      </c>
      <c r="M45" s="7" t="str">
        <f t="shared" ca="1" si="6"/>
        <v>EXPIRING SOON</v>
      </c>
      <c r="N45" s="7">
        <f>Table3[[#This Row],[Profit per Unit]]*Table3[[#This Row],[Units Sold (Monthly)]]</f>
        <v>20000</v>
      </c>
      <c r="O45" s="7" t="str">
        <f t="shared" si="7"/>
        <v>Oct</v>
      </c>
    </row>
    <row r="46" spans="1:15" x14ac:dyDescent="0.25">
      <c r="A46" s="6" t="s">
        <v>107</v>
      </c>
      <c r="B46" s="6" t="s">
        <v>40</v>
      </c>
      <c r="C46" s="6">
        <v>90</v>
      </c>
      <c r="D46" s="6">
        <v>400</v>
      </c>
      <c r="E46" s="6">
        <v>700</v>
      </c>
      <c r="F46" s="6" t="s">
        <v>108</v>
      </c>
      <c r="G46" s="6">
        <v>60</v>
      </c>
      <c r="H46" s="6">
        <f t="shared" si="4"/>
        <v>300</v>
      </c>
      <c r="I46" s="6">
        <f>Table3[[#This Row],[Units Sold (Monthly)]]*Table3[[#This Row],[Selling Price (₦)]]</f>
        <v>42000</v>
      </c>
      <c r="J46" s="10">
        <f>Table3[[#This Row],[Units Sold (Monthly)]]*(Table3[[#This Row],[Selling Price (₦)]]-Table3[[#This Row],[Unit Cost (₦)*]])</f>
        <v>18000</v>
      </c>
      <c r="K46" s="7">
        <f>Table3[[#This Row],[Qty]]*Table3[[#This Row],[Unit Cost (₦)*]]</f>
        <v>36000</v>
      </c>
      <c r="L46" s="7">
        <f t="shared" si="5"/>
        <v>30</v>
      </c>
      <c r="M46" s="7" t="str">
        <f t="shared" ca="1" si="6"/>
        <v>OK</v>
      </c>
      <c r="N46" s="7">
        <f>Table3[[#This Row],[Profit per Unit]]*Table3[[#This Row],[Units Sold (Monthly)]]</f>
        <v>18000</v>
      </c>
      <c r="O46" s="7" t="str">
        <f t="shared" si="7"/>
        <v>Apr</v>
      </c>
    </row>
    <row r="47" spans="1:15" x14ac:dyDescent="0.25">
      <c r="A47" s="6" t="s">
        <v>109</v>
      </c>
      <c r="B47" s="6" t="s">
        <v>27</v>
      </c>
      <c r="C47" s="6">
        <v>150</v>
      </c>
      <c r="D47" s="6">
        <v>100</v>
      </c>
      <c r="E47" s="6">
        <v>200</v>
      </c>
      <c r="F47" s="6" t="s">
        <v>110</v>
      </c>
      <c r="G47" s="6">
        <v>130</v>
      </c>
      <c r="H47" s="6">
        <f t="shared" si="4"/>
        <v>100</v>
      </c>
      <c r="I47" s="6">
        <f>Table3[[#This Row],[Units Sold (Monthly)]]*Table3[[#This Row],[Selling Price (₦)]]</f>
        <v>26000</v>
      </c>
      <c r="J47" s="10">
        <f>Table3[[#This Row],[Units Sold (Monthly)]]*(Table3[[#This Row],[Selling Price (₦)]]-Table3[[#This Row],[Unit Cost (₦)*]])</f>
        <v>13000</v>
      </c>
      <c r="K47" s="7">
        <f>Table3[[#This Row],[Qty]]*Table3[[#This Row],[Unit Cost (₦)*]]</f>
        <v>15000</v>
      </c>
      <c r="L47" s="7">
        <f t="shared" si="5"/>
        <v>20</v>
      </c>
      <c r="M47" s="7" t="str">
        <f t="shared" ca="1" si="6"/>
        <v>EXPIRING SOON</v>
      </c>
      <c r="N47" s="7">
        <f>Table3[[#This Row],[Profit per Unit]]*Table3[[#This Row],[Units Sold (Monthly)]]</f>
        <v>13000</v>
      </c>
      <c r="O47" s="7" t="str">
        <f t="shared" si="7"/>
        <v>Aug</v>
      </c>
    </row>
    <row r="48" spans="1:15" x14ac:dyDescent="0.25">
      <c r="A48" s="6" t="s">
        <v>111</v>
      </c>
      <c r="B48" s="6" t="s">
        <v>32</v>
      </c>
      <c r="C48" s="6">
        <v>50</v>
      </c>
      <c r="D48" s="6">
        <v>1100</v>
      </c>
      <c r="E48" s="6">
        <v>1700</v>
      </c>
      <c r="F48" s="6" t="s">
        <v>112</v>
      </c>
      <c r="G48" s="6">
        <v>35</v>
      </c>
      <c r="H48" s="6">
        <f t="shared" si="4"/>
        <v>600</v>
      </c>
      <c r="I48" s="6">
        <f>Table3[[#This Row],[Units Sold (Monthly)]]*Table3[[#This Row],[Selling Price (₦)]]</f>
        <v>59500</v>
      </c>
      <c r="J48" s="10">
        <f>Table3[[#This Row],[Units Sold (Monthly)]]*(Table3[[#This Row],[Selling Price (₦)]]-Table3[[#This Row],[Unit Cost (₦)*]])</f>
        <v>21000</v>
      </c>
      <c r="K48" s="7">
        <f>Table3[[#This Row],[Qty]]*Table3[[#This Row],[Unit Cost (₦)*]]</f>
        <v>55000</v>
      </c>
      <c r="L48" s="7">
        <f t="shared" si="5"/>
        <v>15</v>
      </c>
      <c r="M48" s="7" t="str">
        <f t="shared" ca="1" si="6"/>
        <v>OK</v>
      </c>
      <c r="N48" s="7">
        <f>Table3[[#This Row],[Profit per Unit]]*Table3[[#This Row],[Units Sold (Monthly)]]</f>
        <v>21000</v>
      </c>
      <c r="O48" s="7" t="str">
        <f t="shared" si="7"/>
        <v>Jun</v>
      </c>
    </row>
    <row r="49" spans="1:15" x14ac:dyDescent="0.25">
      <c r="A49" s="6" t="s">
        <v>113</v>
      </c>
      <c r="B49" s="6" t="s">
        <v>46</v>
      </c>
      <c r="C49" s="6">
        <v>80</v>
      </c>
      <c r="D49" s="6">
        <v>450</v>
      </c>
      <c r="E49" s="6">
        <v>800</v>
      </c>
      <c r="F49" s="6" t="s">
        <v>114</v>
      </c>
      <c r="G49" s="6">
        <v>55</v>
      </c>
      <c r="H49" s="6">
        <f t="shared" si="4"/>
        <v>350</v>
      </c>
      <c r="I49" s="6">
        <f>Table3[[#This Row],[Units Sold (Monthly)]]*Table3[[#This Row],[Selling Price (₦)]]</f>
        <v>44000</v>
      </c>
      <c r="J49" s="10">
        <f>Table3[[#This Row],[Units Sold (Monthly)]]*(Table3[[#This Row],[Selling Price (₦)]]-Table3[[#This Row],[Unit Cost (₦)*]])</f>
        <v>19250</v>
      </c>
      <c r="K49" s="7">
        <f>Table3[[#This Row],[Qty]]*Table3[[#This Row],[Unit Cost (₦)*]]</f>
        <v>36000</v>
      </c>
      <c r="L49" s="7">
        <f t="shared" si="5"/>
        <v>25</v>
      </c>
      <c r="M49" s="7" t="str">
        <f t="shared" ca="1" si="6"/>
        <v>OK</v>
      </c>
      <c r="N49" s="7">
        <f>Table3[[#This Row],[Profit per Unit]]*Table3[[#This Row],[Units Sold (Monthly)]]</f>
        <v>19250</v>
      </c>
      <c r="O49" s="7" t="str">
        <f t="shared" si="7"/>
        <v>Sep</v>
      </c>
    </row>
    <row r="50" spans="1:15" x14ac:dyDescent="0.25">
      <c r="A50" s="6" t="s">
        <v>115</v>
      </c>
      <c r="B50" s="6" t="s">
        <v>40</v>
      </c>
      <c r="C50" s="6">
        <v>70</v>
      </c>
      <c r="D50" s="6">
        <v>600</v>
      </c>
      <c r="E50" s="6">
        <v>1000</v>
      </c>
      <c r="F50" s="6" t="s">
        <v>116</v>
      </c>
      <c r="G50" s="6">
        <v>45</v>
      </c>
      <c r="H50" s="6">
        <f t="shared" si="4"/>
        <v>400</v>
      </c>
      <c r="I50" s="6">
        <f>Table3[[#This Row],[Units Sold (Monthly)]]*Table3[[#This Row],[Selling Price (₦)]]</f>
        <v>45000</v>
      </c>
      <c r="J50" s="10">
        <f>Table3[[#This Row],[Units Sold (Monthly)]]*(Table3[[#This Row],[Selling Price (₦)]]-Table3[[#This Row],[Unit Cost (₦)*]])</f>
        <v>18000</v>
      </c>
      <c r="K50" s="7">
        <f>Table3[[#This Row],[Qty]]*Table3[[#This Row],[Unit Cost (₦)*]]</f>
        <v>42000</v>
      </c>
      <c r="L50" s="7">
        <f t="shared" si="5"/>
        <v>25</v>
      </c>
      <c r="M50" s="7" t="str">
        <f t="shared" ca="1" si="6"/>
        <v>EXPIRING SOON</v>
      </c>
      <c r="N50" s="7">
        <f>Table3[[#This Row],[Profit per Unit]]*Table3[[#This Row],[Units Sold (Monthly)]]</f>
        <v>18000</v>
      </c>
      <c r="O50" s="7" t="str">
        <f t="shared" si="7"/>
        <v>Apr</v>
      </c>
    </row>
    <row r="51" spans="1:15" x14ac:dyDescent="0.25">
      <c r="A51" s="6" t="s">
        <v>117</v>
      </c>
      <c r="B51" s="6" t="s">
        <v>7</v>
      </c>
      <c r="C51" s="6">
        <v>100</v>
      </c>
      <c r="D51" s="6">
        <v>300</v>
      </c>
      <c r="E51" s="6">
        <v>500</v>
      </c>
      <c r="F51" s="6" t="s">
        <v>118</v>
      </c>
      <c r="G51" s="6">
        <v>85</v>
      </c>
      <c r="H51" s="6">
        <f t="shared" si="4"/>
        <v>200</v>
      </c>
      <c r="I51" s="6">
        <f>Table3[[#This Row],[Units Sold (Monthly)]]*Table3[[#This Row],[Selling Price (₦)]]</f>
        <v>42500</v>
      </c>
      <c r="J51" s="10">
        <f>Table3[[#This Row],[Units Sold (Monthly)]]*(Table3[[#This Row],[Selling Price (₦)]]-Table3[[#This Row],[Unit Cost (₦)*]])</f>
        <v>17000</v>
      </c>
      <c r="K51" s="7">
        <f>Table3[[#This Row],[Qty]]*Table3[[#This Row],[Unit Cost (₦)*]]</f>
        <v>30000</v>
      </c>
      <c r="L51" s="7">
        <f t="shared" si="5"/>
        <v>15</v>
      </c>
      <c r="M51" s="7" t="str">
        <f t="shared" ca="1" si="6"/>
        <v>EXPIRING SOON</v>
      </c>
      <c r="N51" s="7">
        <f>Table3[[#This Row],[Profit per Unit]]*Table3[[#This Row],[Units Sold (Monthly)]]</f>
        <v>17000</v>
      </c>
      <c r="O51" s="7" t="str">
        <f t="shared" si="7"/>
        <v>Jul</v>
      </c>
    </row>
    <row r="53" spans="1:15" x14ac:dyDescent="0.25">
      <c r="N53">
        <f>SUM(N2:N51)</f>
        <v>862800</v>
      </c>
    </row>
    <row r="54" spans="1:15" x14ac:dyDescent="0.25">
      <c r="D54">
        <f>SUM(D2:D51)</f>
        <v>31120</v>
      </c>
      <c r="G54">
        <f>SUM(G2:G51)</f>
        <v>2865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3"/>
  <sheetViews>
    <sheetView showGridLines="0" zoomScale="98" zoomScaleNormal="98" workbookViewId="0">
      <selection activeCell="V12" sqref="V12"/>
    </sheetView>
  </sheetViews>
  <sheetFormatPr defaultRowHeight="15" x14ac:dyDescent="0.25"/>
  <sheetData>
    <row r="3" spans="25:25" x14ac:dyDescent="0.25">
      <c r="Y3">
        <f>10+10</f>
        <v>20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2296CB36-24EB-4ED8-BF5F-D2C2F5196C8D}">
  <ds:schemaRefs/>
</ds:datastoreItem>
</file>

<file path=customXml/itemProps2.xml><?xml version="1.0" encoding="utf-8"?>
<ds:datastoreItem xmlns:ds="http://schemas.openxmlformats.org/officeDocument/2006/customXml" ds:itemID="{08AF1D65-B757-4FD6-A0CD-44E65242BF72}">
  <ds:schemaRefs/>
</ds:datastoreItem>
</file>

<file path=customXml/itemProps3.xml><?xml version="1.0" encoding="utf-8"?>
<ds:datastoreItem xmlns:ds="http://schemas.openxmlformats.org/officeDocument/2006/customXml" ds:itemID="{A219C954-1025-4DED-93EF-363E6D6AF7DF}">
  <ds:schemaRefs/>
</ds:datastoreItem>
</file>

<file path=customXml/itemProps4.xml><?xml version="1.0" encoding="utf-8"?>
<ds:datastoreItem xmlns:ds="http://schemas.openxmlformats.org/officeDocument/2006/customXml" ds:itemID="{0D60A49C-44F9-43EE-B3AF-7CF3EC69A7DA}">
  <ds:schemaRefs/>
</ds:datastoreItem>
</file>

<file path=customXml/itemProps5.xml><?xml version="1.0" encoding="utf-8"?>
<ds:datastoreItem xmlns:ds="http://schemas.openxmlformats.org/officeDocument/2006/customXml" ds:itemID="{2E21CA4B-B740-43E4-8F94-D0F84A659F62}">
  <ds:schemaRefs/>
</ds:datastoreItem>
</file>

<file path=customXml/itemProps6.xml><?xml version="1.0" encoding="utf-8"?>
<ds:datastoreItem xmlns:ds="http://schemas.openxmlformats.org/officeDocument/2006/customXml" ds:itemID="{DE0A85B7-487D-49E6-B4DD-6250B6EBCDA8}">
  <ds:schemaRefs/>
</ds:datastoreItem>
</file>

<file path=customXml/itemProps7.xml><?xml version="1.0" encoding="utf-8"?>
<ds:datastoreItem xmlns:ds="http://schemas.openxmlformats.org/officeDocument/2006/customXml" ds:itemID="{0A4560B7-DC53-4BEE-82E8-F0EF4C8B85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Pharmacy_Clean_Data (2)</vt:lpstr>
      <vt:lpstr>Pharmacy_Pivot_Table</vt:lpstr>
      <vt:lpstr>Pharmacy_Clean_Data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2026-05-14T10:21:10Z</dcterms:created>
  <dcterms:modified xsi:type="dcterms:W3CDTF">2026-05-15T14:03:55Z</dcterms:modified>
</cp:coreProperties>
</file>